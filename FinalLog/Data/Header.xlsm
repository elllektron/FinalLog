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C#\Projects\FinalLog\FinalLog\Data\"/>
    </mc:Choice>
  </mc:AlternateContent>
  <xr:revisionPtr revIDLastSave="0" documentId="13_ncr:1_{DC904497-3633-4ADE-B6B1-A3104538C617}" xr6:coauthVersionLast="47" xr6:coauthVersionMax="47" xr10:uidLastSave="{00000000-0000-0000-0000-000000000000}"/>
  <bookViews>
    <workbookView xWindow="-120" yWindow="-120" windowWidth="20730" windowHeight="11160" tabRatio="91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B19" i="1"/>
  <c r="R20" i="20" s="1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B23" i="1"/>
  <c r="R20" i="2"/>
  <c r="E17" i="1"/>
  <c r="E16" i="1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<sst xmlns="http://schemas.openxmlformats.org/spreadsheetml/2006/main" count="1568" uniqueCount="511">
  <si>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</si>
  <si>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</si>
  <si>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</si>
  <si>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</si>
  <si>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</si>
  <si>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</si>
  <si>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</si>
  <si>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</si>
  <si>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</si>
  <si>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Восточно-Мессояхское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</si>
  <si>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</si>
  <si>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</si>
  <si>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</si>
  <si>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</si>
  <si>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</si>
  <si>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</si>
  <si>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</si>
  <si>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</si>
  <si>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</si>
  <si>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</si>
  <si>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</si>
  <si>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</si>
  <si>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</si>
  <si>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</si>
  <si>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</si>
  <si>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</si>
  <si>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</si>
  <si>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</si>
  <si>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</si>
  <si>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</si>
  <si>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</si>
  <si>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</si>
  <si>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</si>
  <si>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</si>
  <si>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</si>
  <si>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</si>
  <si>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</si>
  <si>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</si>
  <si>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</si>
  <si>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</si>
  <si>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</si>
  <si>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</si>
  <si>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</si>
  <si>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</si>
  <si>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</si>
  <si>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</si>
  <si>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</si>
  <si>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</si>
  <si>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</si>
  <si>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</si>
  <si>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</si>
  <si>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</si>
  <si>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</si>
  <si>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</si>
  <si>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</si>
  <si>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</si>
  <si>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</si>
  <si>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</si>
  <si>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</si>
  <si>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</si>
  <si>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</si>
  <si>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</si>
  <si>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</si>
  <si>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</si>
  <si>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</si>
  <si>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</si>
  <si>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</si>
  <si>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</si>
  <si>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</si>
  <si>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</si>
  <si>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</si>
  <si>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</si>
  <si>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</si>
  <si>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</si>
  <si>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</si>
  <si>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</si>
  <si>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</si>
  <si>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</si>
  <si>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</si>
  <si>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</si>
  <si>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</si>
  <si>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</si>
  <si>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</si>
  <si>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</si>
  <si>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</si>
  <si>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</si>
  <si>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</si>
  <si>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</si>
  <si>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</si>
  <si>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</si>
  <si>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</si>
  <si>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</si>
  <si>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</si>
  <si>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</si>
  <si>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</si>
  <si>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</si>
  <si>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</si>
  <si>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</si>
  <si>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</si>
  <si>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</si>
  <si>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</si>
  <si>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</si>
  <si>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</si>
  <si>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</si>
  <si>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</si>
  <si>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</si>
  <si>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</si>
  <si>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</si>
  <si>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</si>
  <si>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</si>
  <si>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</si>
  <si>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</si>
  <si>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</si>
  <si>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</si>
  <si>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</si>
  <si>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</si>
  <si>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</si>
  <si>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</si>
  <si>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</si>
  <si>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</si>
  <si>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</si>
  <si>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</si>
  <si>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</si>
  <si>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</si>
  <si>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</si>
  <si>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</si>
  <si>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</si>
  <si>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</si>
  <si>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</si>
  <si>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</si>
  <si>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</si>
  <si>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</si>
  <si>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</si>
  <si>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</si>
  <si>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</si>
  <si>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</si>
  <si>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</si>
  <si>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</si>
  <si>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</si>
  <si>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</si>
  <si>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</si>
  <si>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л/сек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</si>
  <si>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</si>
  <si>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</si>
  <si>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</si>
  <si>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</si>
  <si>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</si>
  <si>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</si>
  <si>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</si>
  <si>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</si>
  <si>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</si>
  <si>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</si>
  <si>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</si>
  <si>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</si>
  <si>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</si>
  <si>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</si>
  <si>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</si>
  <si>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</si>
  <si>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</si>
  <si>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</si>
  <si>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</si>
  <si>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</si>
  <si>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</si>
  <si>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</si>
  <si>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</si>
  <si>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</si>
  <si>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</si>
  <si>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</si>
  <si>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</si>
  <si>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</si>
  <si>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</si>
  <si>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</si>
  <si>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</si>
  <si>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</si>
  <si>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</si>
  <si>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</si>
  <si>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</si>
  <si>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</si>
  <si>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</si>
  <si>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</si>
  <si>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</si>
  <si>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</si>
  <si>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</si>
  <si>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</si>
  <si>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</si>
  <si>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</si>
  <si>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</si>
  <si>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</si>
  <si>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</si>
  <si>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</si>
  <si>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</si>
  <si>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</si>
  <si>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</si>
  <si>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</si>
  <si>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</si>
  <si>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</si>
  <si>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</si>
  <si>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</si>
  <si>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</si>
  <si>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</si>
  <si>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</si>
  <si>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</si>
  <si>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</si>
  <si>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</si>
  <si>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</si>
  <si>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</si>
  <si>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</si>
  <si>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</si>
  <si>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</si>
  <si>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</si>
  <si>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</si>
  <si>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</si>
  <si>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</si>
  <si>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</si>
  <si>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</si>
  <si>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</si>
  <si>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</si>
  <si>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</si>
  <si>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</si>
  <si>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</si>
  <si>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</si>
  <si>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</si>
  <si>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</si>
  <si>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</si>
  <si>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</si>
  <si>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</si>
  <si>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</si>
  <si>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</si>
  <si>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</si>
  <si>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</si>
  <si>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</si>
  <si>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</si>
  <si>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</si>
  <si>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</si>
  <si>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</si>
  <si>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</si>
  <si>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</si>
  <si>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</si>
  <si>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</si>
  <si>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</si>
  <si>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</si>
  <si>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</si>
  <si>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</si>
  <si>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</si>
  <si>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</si>
  <si>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</si>
  <si>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</si>
  <si>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</si>
  <si>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</si>
  <si>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</si>
  <si>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</si>
  <si>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</si>
  <si>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</si>
  <si>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</si>
  <si>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</si>
  <si>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</si>
  <si>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</si>
  <si>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</si>
  <si>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</si>
  <si>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</si>
  <si>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</si>
  <si>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</si>
  <si>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</si>
  <si>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</si>
  <si>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</si>
  <si>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</si>
  <si>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</si>
  <si>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</si>
  <si>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</si>
  <si>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</si>
  <si>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</si>
  <si>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</si>
  <si>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</si>
  <si>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</si>
  <si>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</si>
  <si>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</si>
  <si>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</si>
  <si>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</si>
  <si>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</si>
  <si>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</si>
  <si>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</si>
  <si>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</si>
  <si>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</si>
  <si>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</si>
  <si>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</si>
  <si>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</si>
  <si>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</si>
  <si>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</si>
  <si>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</si>
  <si>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</si>
  <si>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</si>
  <si>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</si>
  <si>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</si>
  <si>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</si>
  <si>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</si>
  <si>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</si>
  <si>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</si>
  <si>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</si>
  <si>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</si>
  <si>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</si>
  <si>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</si>
  <si>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</si>
  <si>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</si>
  <si>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</si>
  <si>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</si>
  <si>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</si>
  <si>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</si>
  <si>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</si>
  <si>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</si>
  <si>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</si>
  <si>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</si>
  <si>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</si>
  <si>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</si>
  <si>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</si>
  <si>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</si>
  <si>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</si>
  <si>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</si>
  <si>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</si>
  <si>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</si>
  <si>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</si>
  <si>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</si>
  <si>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</si>
  <si>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</si>
  <si>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</si>
  <si>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</si>
  <si>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</si>
  <si>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</si>
  <si>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</si>
  <si>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</si>
  <si>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</si>
  <si>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</si>
  <si>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</si>
  <si>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</si>
  <si>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</si>
  <si>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</si>
  <si>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</si>
  <si>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</si>
  <si>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</si>
  <si>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</si>
  <si>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</si>
  <si>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</si>
  <si>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</si>
  <si>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</si>
  <si>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</si>
  <si>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</si>
  <si>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</si>
  <si>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</si>
  <si>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</si>
  <si>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</si>
  <si>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</si>
  <si>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</si>
  <si>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</si>
  <si>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</si>
  <si>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</si>
  <si>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</si>
  <si>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</si>
  <si>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</si>
  <si>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</si>
  <si>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</si>
  <si>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</si>
  <si>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</si>
  <si>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</si>
  <si>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</si>
  <si>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</si>
  <si>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</si>
  <si>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</si>
  <si>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</si>
  <si>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</si>
  <si>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</si>
  <si>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</si>
  <si>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</si>
  <si>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</si>
  <si>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</si>
  <si>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</si>
  <si>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</si>
  <si>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</si>
  <si>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</si>
  <si>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</si>
  <si>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</si>
  <si>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</si>
  <si>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</si>
  <si>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</si>
  <si>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</si>
  <si>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</si>
  <si>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</si>
  <si>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</si>
  <si>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</si>
  <si>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</si>
  <si>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</si>
  <si>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</si>
  <si>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</si>
  <si>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</si>
  <si>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</si>
  <si>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</si>
  <si>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</si>
  <si>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</si>
  <si>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</si>
  <si>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</si>
  <si>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</si>
  <si>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</si>
  <si>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</si>
  <si>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</si>
  <si>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</si>
  <si>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</si>
  <si>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</si>
  <si>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</si>
  <si>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</si>
  <si>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</si>
  <si>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</si>
  <si>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</si>
  <si>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</si>
  <si>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</si>
  <si>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</si>
  <si>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</si>
  <si>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</si>
  <si>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</si>
  <si>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</si>
  <si>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</si>
  <si>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</si>
  <si>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</si>
  <si>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</si>
  <si>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</si>
  <si>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</si>
  <si>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</si>
  <si>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</si>
  <si>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</si>
  <si>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</si>
  <si>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</si>
  <si>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</si>
  <si>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</si>
  <si>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</si>
  <si>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</si>
  <si>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</si>
  <si>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</si>
  <si>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</si>
  <si>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</si>
  <si>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</si>
  <si>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ННБ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</si>
  <si>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</si>
  <si>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</si>
  <si>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</si>
  <si>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</si>
  <si>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</si>
  <si>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</si>
  <si>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</si>
  <si>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</si>
  <si>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</si>
  <si>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</si>
  <si>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</si>
  <si>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</si>
  <si>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</si>
  <si>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</si>
  <si>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</si>
  <si>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</si>
  <si>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</si>
  <si>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</si>
  <si>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</si>
  <si>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</si>
  <si>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</si>
  <si>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</si>
  <si>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220.7 мм</t>
  </si>
  <si>
    <t>PDC</t>
  </si>
  <si>
    <t>0.11@32</t>
  </si>
  <si>
    <t>0.08@32</t>
  </si>
  <si>
    <t>0.16@32</t>
  </si>
  <si>
    <t>1:200 MD</t>
  </si>
  <si>
    <t>КНБК TripleCombo Image</t>
  </si>
  <si>
    <t>БУ-3200</t>
  </si>
  <si>
    <t>82.69°</t>
  </si>
  <si>
    <t>0.20@20</t>
  </si>
  <si>
    <t>0.15@20</t>
  </si>
  <si>
    <t>0.30@20</t>
  </si>
  <si>
    <t>W9220112</t>
  </si>
  <si>
    <t>44.21 м</t>
  </si>
  <si>
    <t>68° 31' 46.245" С</t>
  </si>
  <si>
    <t>79° 49' 45.665" В</t>
  </si>
  <si>
    <t>22.2°</t>
  </si>
  <si>
    <t>4828st03#74 Горизонтальный ствол3</t>
  </si>
  <si>
    <t>Горизонтальный ствол3</t>
  </si>
  <si>
    <t>2520.00 м</t>
  </si>
  <si>
    <t>155.6 мм</t>
  </si>
  <si>
    <t>1460.00 м</t>
  </si>
  <si>
    <t>295.3 мм</t>
  </si>
  <si>
    <t>0.0 м</t>
  </si>
  <si>
    <t>Биополимерный KCL</t>
  </si>
  <si>
    <t>452.7 м</t>
  </si>
  <si>
    <t>1144.0 м</t>
  </si>
  <si>
    <t>1899.0 м</t>
  </si>
  <si>
    <t>2520.0 м</t>
  </si>
  <si>
    <t>245.0 мм</t>
  </si>
  <si>
    <t>447.4 м</t>
  </si>
  <si>
    <t>178.0 мм</t>
  </si>
  <si>
    <t>1140.3 м</t>
  </si>
  <si>
    <t>10.7°</t>
  </si>
  <si>
    <t>84.0°</t>
  </si>
  <si>
    <t>91.1°</t>
  </si>
  <si>
    <t>0.5°</t>
  </si>
  <si>
    <t>84.7°</t>
  </si>
  <si>
    <t>бурение</t>
  </si>
  <si>
    <t>16 / 22</t>
  </si>
  <si>
    <t>7 / 0.6</t>
  </si>
  <si>
    <t>1 / 80</t>
  </si>
  <si>
    <t>Евдокименко Е.С</t>
  </si>
  <si>
    <t>Злобин А.</t>
  </si>
  <si>
    <t>22663G</t>
  </si>
  <si>
    <t>53523B</t>
  </si>
  <si>
    <t>12.25 / RT</t>
  </si>
  <si>
    <t>21.58 / 20</t>
  </si>
  <si>
    <t>18.65 / 10</t>
  </si>
  <si>
    <t>31.99 / 10</t>
  </si>
  <si>
    <t>29.55 /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</si>
</sst>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734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horizontal="left"/>
    </xf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 applyProtection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1" fillId="0" borderId="11" xfId="0" applyFont="1" applyBorder="1" applyAlignment="1" applyProtection="1">
      <alignment horizontal="left"/>
    </xf>
    <xf numFmtId="0" fontId="1" fillId="0" borderId="12" xfId="0" applyFont="1" applyBorder="1" applyAlignment="1" applyProtection="1">
      <alignment horizontal="left"/>
    </xf>
    <xf numFmtId="0" fontId="2" fillId="2" borderId="1" xfId="0" applyFont="1" applyFill="1" applyBorder="1"/>
    <xf numFmtId="0" fontId="1" fillId="0" borderId="13" xfId="0" applyFont="1" applyBorder="1" applyAlignment="1" applyProtection="1">
      <alignment horizontal="left"/>
    </xf>
    <xf numFmtId="0" fontId="1" fillId="0" borderId="14" xfId="0" applyFont="1" applyBorder="1" applyAlignment="1" applyProtection="1">
      <alignment horizontal="left"/>
    </xf>
    <xf numFmtId="2" fontId="2" fillId="2" borderId="2" xfId="0" applyNumberFormat="1" applyFont="1" applyFill="1" applyBorder="1" applyAlignment="1">
      <alignment horizontal="left"/>
    </xf>
    <xf numFmtId="0" fontId="1" fillId="0" borderId="0" xfId="0" applyFont="1" applyFill="1"/>
    <xf numFmtId="0" fontId="0" fillId="0" borderId="0" xfId="0" applyFill="1"/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0" fontId="1" fillId="0" borderId="0" xfId="0" applyFont="1" applyFill="1" applyBorder="1" applyAlignment="1" applyProtection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Border="1"/>
    <xf numFmtId="0" fontId="0" fillId="0" borderId="0" xfId="0" applyBorder="1" applyAlignment="1" applyProtection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ont="1" applyFill="1" applyBorder="1" applyAlignment="1">
      <alignment horizontal="center"/>
    </xf>
    <xf numFmtId="0" fontId="1" fillId="0" borderId="0" xfId="0" applyNumberFormat="1" applyFont="1" applyAlignment="1" applyProtection="1">
      <alignment horizontal="left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Protection="1"/>
    <xf numFmtId="0" fontId="0" fillId="0" borderId="6" xfId="0" applyFill="1" applyBorder="1" applyProtection="1"/>
    <xf numFmtId="0" fontId="0" fillId="0" borderId="36" xfId="0" applyFill="1" applyBorder="1" applyProtection="1"/>
    <xf numFmtId="0" fontId="0" fillId="0" borderId="7" xfId="0" applyFill="1" applyBorder="1" applyProtection="1"/>
    <xf numFmtId="0" fontId="0" fillId="0" borderId="0" xfId="0" applyFill="1" applyProtection="1"/>
    <xf numFmtId="0" fontId="0" fillId="0" borderId="11" xfId="0" applyFill="1" applyBorder="1" applyProtection="1"/>
    <xf numFmtId="0" fontId="0" fillId="0" borderId="0" xfId="0" applyFill="1" applyBorder="1" applyProtection="1"/>
    <xf numFmtId="0" fontId="0" fillId="0" borderId="12" xfId="0" applyFill="1" applyBorder="1" applyProtection="1"/>
    <xf numFmtId="0" fontId="8" fillId="0" borderId="11" xfId="0" applyFont="1" applyFill="1" applyBorder="1" applyAlignment="1" applyProtection="1"/>
    <xf numFmtId="0" fontId="8" fillId="0" borderId="0" xfId="0" applyFont="1" applyFill="1" applyBorder="1" applyAlignment="1" applyProtection="1"/>
    <xf numFmtId="0" fontId="8" fillId="0" borderId="12" xfId="0" applyFont="1" applyFill="1" applyBorder="1" applyAlignment="1" applyProtection="1"/>
    <xf numFmtId="0" fontId="9" fillId="0" borderId="11" xfId="0" applyFont="1" applyFill="1" applyBorder="1" applyAlignment="1" applyProtection="1">
      <alignment horizontal="center" vertical="center" textRotation="180"/>
    </xf>
    <xf numFmtId="0" fontId="9" fillId="0" borderId="0" xfId="0" applyFont="1" applyFill="1" applyBorder="1" applyAlignment="1" applyProtection="1">
      <alignment horizontal="center" vertical="center" textRotation="180"/>
    </xf>
    <xf numFmtId="0" fontId="5" fillId="0" borderId="13" xfId="0" applyFont="1" applyFill="1" applyBorder="1" applyAlignment="1" applyProtection="1">
      <alignment vertical="top" textRotation="180"/>
    </xf>
    <xf numFmtId="0" fontId="0" fillId="0" borderId="40" xfId="0" applyFill="1" applyBorder="1" applyAlignment="1" applyProtection="1">
      <alignment vertical="center"/>
    </xf>
    <xf numFmtId="0" fontId="10" fillId="0" borderId="40" xfId="0" applyFont="1" applyFill="1" applyBorder="1" applyAlignment="1" applyProtection="1"/>
    <xf numFmtId="0" fontId="0" fillId="0" borderId="40" xfId="0" applyFill="1" applyBorder="1" applyAlignment="1" applyProtection="1"/>
    <xf numFmtId="0" fontId="8" fillId="0" borderId="40" xfId="0" applyFont="1" applyFill="1" applyBorder="1" applyAlignment="1" applyProtection="1"/>
    <xf numFmtId="0" fontId="0" fillId="0" borderId="40" xfId="0" applyFill="1" applyBorder="1" applyProtection="1"/>
    <xf numFmtId="0" fontId="0" fillId="0" borderId="14" xfId="0" applyFill="1" applyBorder="1" applyProtection="1"/>
    <xf numFmtId="0" fontId="12" fillId="0" borderId="0" xfId="0" applyFont="1" applyFill="1" applyBorder="1" applyAlignment="1" applyProtection="1">
      <alignment textRotation="180"/>
    </xf>
    <xf numFmtId="0" fontId="13" fillId="0" borderId="0" xfId="0" applyFont="1" applyFill="1" applyBorder="1" applyAlignment="1" applyProtection="1">
      <alignment vertical="center" textRotation="180"/>
    </xf>
    <xf numFmtId="0" fontId="14" fillId="0" borderId="0" xfId="0" applyFont="1" applyFill="1" applyBorder="1" applyAlignment="1" applyProtection="1">
      <alignment vertical="top" textRotation="180"/>
    </xf>
    <xf numFmtId="0" fontId="0" fillId="0" borderId="48" xfId="0" applyFill="1" applyBorder="1" applyProtection="1"/>
    <xf numFmtId="0" fontId="5" fillId="0" borderId="49" xfId="0" applyFont="1" applyFill="1" applyBorder="1" applyAlignment="1" applyProtection="1">
      <alignment vertical="top" textRotation="180"/>
    </xf>
    <xf numFmtId="0" fontId="5" fillId="0" borderId="48" xfId="0" applyFont="1" applyFill="1" applyBorder="1" applyAlignment="1" applyProtection="1">
      <alignment vertical="top" textRotation="180"/>
    </xf>
    <xf numFmtId="0" fontId="5" fillId="0" borderId="50" xfId="0" applyFont="1" applyFill="1" applyBorder="1" applyAlignment="1" applyProtection="1">
      <alignment vertical="top" textRotation="180"/>
    </xf>
    <xf numFmtId="0" fontId="11" fillId="0" borderId="0" xfId="0" applyFont="1" applyFill="1" applyBorder="1" applyAlignment="1" applyProtection="1">
      <alignment textRotation="180"/>
    </xf>
    <xf numFmtId="0" fontId="12" fillId="0" borderId="0" xfId="0" applyFont="1" applyFill="1" applyBorder="1" applyAlignment="1" applyProtection="1">
      <alignment horizontal="right" textRotation="180"/>
    </xf>
    <xf numFmtId="15" fontId="5" fillId="0" borderId="43" xfId="0" applyNumberFormat="1" applyFont="1" applyFill="1" applyBorder="1" applyAlignment="1" applyProtection="1">
      <alignment vertical="top" textRotation="180"/>
    </xf>
    <xf numFmtId="15" fontId="5" fillId="0" borderId="48" xfId="0" applyNumberFormat="1" applyFont="1" applyFill="1" applyBorder="1" applyAlignment="1" applyProtection="1">
      <alignment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14" fillId="0" borderId="0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vertical="top" textRotation="180"/>
    </xf>
    <xf numFmtId="0" fontId="0" fillId="0" borderId="44" xfId="0" applyFill="1" applyBorder="1" applyProtection="1"/>
    <xf numFmtId="0" fontId="15" fillId="0" borderId="0" xfId="0" applyFont="1" applyFill="1" applyBorder="1" applyAlignment="1" applyProtection="1">
      <alignment vertical="top" textRotation="180"/>
    </xf>
    <xf numFmtId="165" fontId="5" fillId="0" borderId="43" xfId="0" applyNumberFormat="1" applyFont="1" applyFill="1" applyBorder="1" applyAlignment="1" applyProtection="1">
      <alignment vertical="top" textRotation="180"/>
    </xf>
    <xf numFmtId="165" fontId="5" fillId="0" borderId="11" xfId="0" applyNumberFormat="1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18" fillId="0" borderId="11" xfId="0" applyFont="1" applyFill="1" applyBorder="1" applyAlignment="1" applyProtection="1">
      <alignment vertical="top" textRotation="180"/>
    </xf>
    <xf numFmtId="0" fontId="5" fillId="0" borderId="14" xfId="0" applyFont="1" applyFill="1" applyBorder="1" applyAlignment="1" applyProtection="1">
      <alignment vertical="top" textRotation="180"/>
    </xf>
    <xf numFmtId="0" fontId="0" fillId="0" borderId="13" xfId="0" applyFill="1" applyBorder="1" applyProtection="1"/>
    <xf numFmtId="0" fontId="19" fillId="0" borderId="40" xfId="0" applyFont="1" applyFill="1" applyBorder="1" applyAlignment="1" applyProtection="1"/>
    <xf numFmtId="0" fontId="0" fillId="0" borderId="0" xfId="0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Alignment="1" applyProtection="1">
      <protection locked="0"/>
    </xf>
    <xf numFmtId="0" fontId="5" fillId="0" borderId="0" xfId="0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Fill="1" applyBorder="1" applyAlignment="1" applyProtection="1">
      <alignment horizontal="right"/>
      <protection locked="0"/>
    </xf>
    <xf numFmtId="0" fontId="21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Fill="1" applyBorder="1" applyAlignment="1" applyProtection="1">
      <alignment horizontal="left"/>
    </xf>
    <xf numFmtId="0" fontId="21" fillId="0" borderId="12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0" fontId="15" fillId="0" borderId="0" xfId="0" applyFont="1" applyBorder="1" applyAlignment="1" applyProtection="1">
      <protection locked="0"/>
    </xf>
    <xf numFmtId="0" fontId="15" fillId="0" borderId="36" xfId="0" applyFont="1" applyBorder="1" applyAlignment="1" applyProtection="1">
      <alignment horizontal="left"/>
    </xf>
    <xf numFmtId="0" fontId="21" fillId="0" borderId="12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 wrapText="1"/>
      <protection locked="0"/>
    </xf>
    <xf numFmtId="0" fontId="21" fillId="0" borderId="12" xfId="0" applyFont="1" applyFill="1" applyBorder="1" applyAlignment="1" applyProtection="1"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protection locked="0"/>
    </xf>
    <xf numFmtId="0" fontId="15" fillId="0" borderId="69" xfId="0" applyNumberFormat="1" applyFont="1" applyBorder="1" applyAlignment="1" applyProtection="1">
      <alignment horizontal="left"/>
    </xf>
    <xf numFmtId="0" fontId="21" fillId="0" borderId="0" xfId="0" applyFont="1" applyBorder="1" applyProtection="1">
      <protection locked="0"/>
    </xf>
    <xf numFmtId="0" fontId="0" fillId="0" borderId="13" xfId="0" applyFill="1" applyBorder="1"/>
    <xf numFmtId="0" fontId="0" fillId="0" borderId="40" xfId="0" applyFill="1" applyBorder="1" applyAlignment="1">
      <alignment horizontal="center"/>
    </xf>
    <xf numFmtId="0" fontId="0" fillId="0" borderId="40" xfId="0" applyFill="1" applyBorder="1" applyAlignment="1"/>
    <xf numFmtId="0" fontId="0" fillId="0" borderId="14" xfId="0" applyFill="1" applyBorder="1" applyAlignment="1">
      <alignment horizontal="center"/>
    </xf>
    <xf numFmtId="0" fontId="0" fillId="0" borderId="0" xfId="0" applyBorder="1" applyProtection="1">
      <protection locked="0"/>
    </xf>
    <xf numFmtId="0" fontId="2" fillId="0" borderId="0" xfId="0" applyFont="1" applyBorder="1" applyProtection="1">
      <protection locked="0"/>
    </xf>
    <xf numFmtId="0" fontId="23" fillId="0" borderId="70" xfId="0" applyFont="1" applyFill="1" applyBorder="1" applyProtection="1"/>
    <xf numFmtId="0" fontId="23" fillId="0" borderId="36" xfId="0" applyFont="1" applyFill="1" applyBorder="1" applyProtection="1"/>
    <xf numFmtId="0" fontId="24" fillId="0" borderId="71" xfId="0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vertical="top" textRotation="180"/>
      <protection locked="0"/>
    </xf>
    <xf numFmtId="0" fontId="24" fillId="0" borderId="71" xfId="0" applyFont="1" applyFill="1" applyBorder="1" applyAlignment="1" applyProtection="1">
      <alignment horizontal="center" wrapText="1"/>
    </xf>
    <xf numFmtId="0" fontId="24" fillId="0" borderId="71" xfId="0" applyFont="1" applyFill="1" applyBorder="1" applyAlignment="1" applyProtection="1">
      <alignment horizontal="center" wrapText="1"/>
      <protection locked="0"/>
    </xf>
    <xf numFmtId="0" fontId="24" fillId="0" borderId="71" xfId="0" applyFont="1" applyFill="1" applyBorder="1" applyAlignment="1" applyProtection="1">
      <alignment horizontal="center" vertical="center" wrapText="1"/>
      <protection locked="0"/>
    </xf>
    <xf numFmtId="0" fontId="24" fillId="0" borderId="71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vertical="center"/>
      <protection locked="0"/>
    </xf>
    <xf numFmtId="0" fontId="23" fillId="0" borderId="0" xfId="0" applyFont="1" applyFill="1" applyBorder="1" applyProtection="1">
      <protection locked="0"/>
    </xf>
    <xf numFmtId="0" fontId="25" fillId="0" borderId="0" xfId="0" applyFont="1" applyFill="1" applyBorder="1" applyAlignment="1" applyProtection="1">
      <alignment vertical="center"/>
      <protection locked="0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Protection="1">
      <protection locked="0"/>
    </xf>
    <xf numFmtId="0" fontId="24" fillId="0" borderId="21" xfId="0" quotePrefix="1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Fill="1" applyBorder="1" applyAlignment="1" applyProtection="1">
      <alignment horizontal="center"/>
      <protection locked="0"/>
    </xf>
    <xf numFmtId="169" fontId="25" fillId="0" borderId="72" xfId="0" applyNumberFormat="1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protection locked="0"/>
    </xf>
    <xf numFmtId="168" fontId="25" fillId="0" borderId="21" xfId="0" applyNumberFormat="1" applyFont="1" applyFill="1" applyBorder="1" applyAlignment="1" applyProtection="1">
      <alignment horizontal="center"/>
      <protection locked="0"/>
    </xf>
    <xf numFmtId="2" fontId="25" fillId="0" borderId="21" xfId="0" applyNumberFormat="1" applyFont="1" applyFill="1" applyBorder="1" applyAlignment="1" applyProtection="1">
      <alignment horizontal="center"/>
      <protection locked="0"/>
    </xf>
    <xf numFmtId="169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Alignment="1"/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Fill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2" fontId="1" fillId="0" borderId="0" xfId="0" applyNumberFormat="1" applyFont="1" applyFill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Fill="1" applyBorder="1" applyAlignment="1" applyProtection="1">
      <alignment horizontal="center" vertical="center" wrapText="1"/>
      <protection locked="0"/>
    </xf>
    <xf numFmtId="0" fontId="25" fillId="0" borderId="21" xfId="0" applyFont="1" applyFill="1" applyBorder="1" applyAlignment="1" applyProtection="1">
      <alignment horizontal="center" wrapText="1"/>
      <protection locked="0"/>
    </xf>
    <xf numFmtId="0" fontId="25" fillId="0" borderId="21" xfId="0" applyFont="1" applyFill="1" applyBorder="1" applyAlignment="1" applyProtection="1">
      <alignment horizontal="center"/>
      <protection locked="0"/>
    </xf>
    <xf numFmtId="170" fontId="25" fillId="0" borderId="21" xfId="0" applyNumberFormat="1" applyFont="1" applyFill="1" applyBorder="1" applyAlignment="1" applyProtection="1">
      <alignment horizontal="center"/>
      <protection locked="0"/>
    </xf>
    <xf numFmtId="49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Fill="1" applyBorder="1" applyAlignment="1" applyProtection="1">
      <alignment horizont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Font="1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1" fillId="0" borderId="0" xfId="0" applyFont="1" applyFill="1" applyBorder="1" applyProtection="1">
      <protection locked="0"/>
    </xf>
    <xf numFmtId="0" fontId="37" fillId="0" borderId="0" xfId="0" applyFont="1" applyFill="1" applyBorder="1" applyAlignment="1" applyProtection="1">
      <alignment vertical="top" textRotation="180"/>
      <protection locked="0"/>
    </xf>
    <xf numFmtId="0" fontId="38" fillId="0" borderId="6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right"/>
      <protection locked="0"/>
    </xf>
    <xf numFmtId="12" fontId="25" fillId="0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/>
    <xf numFmtId="170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23" xfId="0" applyNumberFormat="1" applyFont="1" applyFill="1" applyBorder="1" applyAlignment="1" applyProtection="1">
      <alignment horizontal="center"/>
      <protection locked="0"/>
    </xf>
    <xf numFmtId="20" fontId="25" fillId="0" borderId="14" xfId="0" applyNumberFormat="1" applyFont="1" applyFill="1" applyBorder="1" applyAlignment="1" applyProtection="1">
      <alignment horizontal="center"/>
      <protection locked="0"/>
    </xf>
    <xf numFmtId="0" fontId="23" fillId="0" borderId="69" xfId="0" applyFont="1" applyFill="1" applyBorder="1" applyAlignment="1" applyProtection="1">
      <alignment horizontal="right"/>
      <protection locked="0"/>
    </xf>
    <xf numFmtId="172" fontId="25" fillId="0" borderId="23" xfId="0" applyNumberFormat="1" applyFont="1" applyFill="1" applyBorder="1" applyAlignment="1" applyProtection="1">
      <alignment horizontal="center"/>
      <protection locked="0"/>
    </xf>
    <xf numFmtId="172" fontId="25" fillId="0" borderId="21" xfId="0" applyNumberFormat="1" applyFont="1" applyFill="1" applyBorder="1" applyAlignment="1" applyProtection="1">
      <alignment horizontal="center"/>
      <protection locked="0"/>
    </xf>
    <xf numFmtId="172" fontId="25" fillId="0" borderId="30" xfId="0" applyNumberFormat="1" applyFont="1" applyFill="1" applyBorder="1" applyAlignment="1" applyProtection="1">
      <alignment horizontal="center"/>
      <protection locked="0"/>
    </xf>
    <xf numFmtId="20" fontId="25" fillId="0" borderId="23" xfId="0" applyNumberFormat="1" applyFont="1" applyFill="1" applyBorder="1" applyAlignment="1" applyProtection="1">
      <alignment horizontal="center"/>
      <protection locked="0"/>
    </xf>
    <xf numFmtId="0" fontId="1" fillId="0" borderId="0" xfId="0" quotePrefix="1" applyFont="1" applyFill="1" applyAlignment="1" applyProtection="1">
      <alignment horizontal="left"/>
      <protection locked="0"/>
    </xf>
    <xf numFmtId="2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30" xfId="0" applyFont="1" applyFill="1" applyBorder="1" applyAlignment="1" applyProtection="1">
      <alignment horizontal="center"/>
      <protection locked="0"/>
    </xf>
    <xf numFmtId="1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30" xfId="0" quotePrefix="1" applyFont="1" applyFill="1" applyBorder="1" applyAlignment="1" applyProtection="1">
      <alignment horizontal="center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right"/>
      <protection locked="0"/>
    </xf>
    <xf numFmtId="3" fontId="25" fillId="0" borderId="30" xfId="0" applyNumberFormat="1" applyFont="1" applyFill="1" applyBorder="1" applyAlignment="1" applyProtection="1">
      <alignment horizontal="center"/>
      <protection locked="0"/>
    </xf>
    <xf numFmtId="0" fontId="31" fillId="0" borderId="69" xfId="0" applyFont="1" applyFill="1" applyBorder="1" applyAlignment="1" applyProtection="1">
      <alignment horizontal="right"/>
      <protection locked="0"/>
    </xf>
    <xf numFmtId="4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69" xfId="0" applyFont="1" applyFill="1" applyBorder="1" applyAlignment="1" applyProtection="1">
      <alignment horizontal="right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3" fillId="0" borderId="69" xfId="0" applyFont="1" applyFill="1" applyBorder="1" applyAlignment="1" applyProtection="1">
      <alignment horizontal="right" vertical="center"/>
      <protection locked="0"/>
    </xf>
    <xf numFmtId="0" fontId="25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horizontal="left" vertical="center"/>
      <protection locked="0"/>
    </xf>
    <xf numFmtId="0" fontId="25" fillId="0" borderId="40" xfId="0" applyFont="1" applyFill="1" applyBorder="1" applyAlignment="1" applyProtection="1">
      <alignment horizontal="right" vertical="center"/>
      <protection locked="0"/>
    </xf>
    <xf numFmtId="0" fontId="31" fillId="0" borderId="69" xfId="0" applyFont="1" applyFill="1" applyBorder="1" applyAlignment="1" applyProtection="1">
      <alignment horizontal="right" vertical="center"/>
      <protection locked="0"/>
    </xf>
    <xf numFmtId="12" fontId="25" fillId="0" borderId="14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4" fillId="0" borderId="30" xfId="0" applyFont="1" applyFill="1" applyBorder="1" applyAlignment="1" applyProtection="1">
      <alignment horizontal="center" vertical="center" wrapText="1"/>
      <protection locked="0"/>
    </xf>
    <xf numFmtId="0" fontId="25" fillId="0" borderId="30" xfId="0" applyFont="1" applyFill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Fill="1" applyBorder="1" applyAlignment="1" applyProtection="1">
      <alignment horizontal="center"/>
      <protection locked="0"/>
    </xf>
    <xf numFmtId="4" fontId="25" fillId="0" borderId="30" xfId="0" applyNumberFormat="1" applyFont="1" applyFill="1" applyBorder="1" applyAlignment="1" applyProtection="1">
      <alignment horizontal="center"/>
      <protection locked="0"/>
    </xf>
    <xf numFmtId="0" fontId="39" fillId="0" borderId="30" xfId="0" applyFont="1" applyFill="1" applyBorder="1" applyAlignment="1" applyProtection="1">
      <alignment horizontal="center" vertical="center" wrapText="1"/>
      <protection locked="0"/>
    </xf>
    <xf numFmtId="0" fontId="24" fillId="0" borderId="30" xfId="0" applyFont="1" applyFill="1" applyBorder="1" applyAlignment="1" applyProtection="1">
      <alignment horizontal="center"/>
      <protection locked="0"/>
    </xf>
    <xf numFmtId="0" fontId="38" fillId="0" borderId="30" xfId="0" applyFont="1" applyFill="1" applyBorder="1" applyAlignment="1" applyProtection="1">
      <alignment horizontal="center"/>
      <protection locked="0"/>
    </xf>
    <xf numFmtId="0" fontId="25" fillId="0" borderId="6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quotePrefix="1" applyFont="1" applyFill="1" applyBorder="1" applyAlignment="1" applyProtection="1">
      <alignment horizontal="center" vertical="center" wrapText="1"/>
      <protection locked="0"/>
    </xf>
    <xf numFmtId="0" fontId="25" fillId="0" borderId="21" xfId="0" quotePrefix="1" applyFont="1" applyFill="1" applyBorder="1" applyAlignment="1" applyProtection="1">
      <alignment horizontal="center" vertical="center"/>
      <protection locked="0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NumberFormat="1" applyFont="1" applyFill="1" applyBorder="1" applyAlignment="1" applyProtection="1">
      <alignment horizontal="center" vertical="center"/>
      <protection locked="0"/>
    </xf>
    <xf numFmtId="0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9" fillId="0" borderId="2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3" fontId="25" fillId="0" borderId="0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center"/>
      <protection locked="0"/>
    </xf>
    <xf numFmtId="172" fontId="25" fillId="0" borderId="0" xfId="0" applyNumberFormat="1" applyFont="1" applyFill="1" applyBorder="1" applyAlignment="1" applyProtection="1">
      <alignment horizontal="center"/>
      <protection locked="0"/>
    </xf>
    <xf numFmtId="173" fontId="25" fillId="0" borderId="0" xfId="0" applyNumberFormat="1" applyFont="1" applyFill="1" applyBorder="1" applyAlignment="1" applyProtection="1">
      <alignment horizontal="center"/>
      <protection locked="0"/>
    </xf>
    <xf numFmtId="4" fontId="25" fillId="0" borderId="0" xfId="0" applyNumberFormat="1" applyFont="1" applyFill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5" fillId="0" borderId="0" xfId="0" quotePrefix="1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2" fillId="0" borderId="0" xfId="0" applyFont="1" applyProtection="1"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left"/>
      <protection locked="0"/>
    </xf>
    <xf numFmtId="0" fontId="2" fillId="0" borderId="0" xfId="0" applyFont="1" applyFill="1" applyProtection="1"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Fill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73" xfId="0" applyFont="1" applyFill="1" applyBorder="1"/>
    <xf numFmtId="0" fontId="26" fillId="0" borderId="51" xfId="0" applyFont="1" applyFill="1" applyBorder="1"/>
    <xf numFmtId="0" fontId="26" fillId="0" borderId="0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26" fillId="0" borderId="73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 wrapText="1"/>
    </xf>
    <xf numFmtId="49" fontId="7" fillId="0" borderId="40" xfId="0" applyNumberFormat="1" applyFont="1" applyFill="1" applyBorder="1" applyAlignment="1">
      <alignment horizontal="center"/>
    </xf>
    <xf numFmtId="0" fontId="7" fillId="0" borderId="40" xfId="0" applyFont="1" applyFill="1" applyBorder="1" applyAlignment="1">
      <alignment horizontal="left"/>
    </xf>
    <xf numFmtId="0" fontId="7" fillId="0" borderId="74" xfId="0" applyFont="1" applyFill="1" applyBorder="1" applyAlignment="1">
      <alignment horizontal="left"/>
    </xf>
    <xf numFmtId="0" fontId="7" fillId="0" borderId="47" xfId="0" applyFont="1" applyFill="1" applyBorder="1"/>
    <xf numFmtId="0" fontId="7" fillId="0" borderId="36" xfId="0" applyFont="1" applyFill="1" applyBorder="1" applyAlignment="1">
      <alignment horizontal="center"/>
    </xf>
    <xf numFmtId="0" fontId="7" fillId="0" borderId="36" xfId="0" applyFont="1" applyFill="1" applyBorder="1"/>
    <xf numFmtId="0" fontId="7" fillId="0" borderId="75" xfId="0" applyFont="1" applyFill="1" applyBorder="1"/>
    <xf numFmtId="0" fontId="7" fillId="5" borderId="0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left"/>
    </xf>
    <xf numFmtId="0" fontId="7" fillId="0" borderId="25" xfId="0" applyFont="1" applyFill="1" applyBorder="1" applyAlignment="1">
      <alignment horizontal="left"/>
    </xf>
    <xf numFmtId="49" fontId="7" fillId="0" borderId="25" xfId="0" applyNumberFormat="1" applyFont="1" applyFill="1" applyBorder="1" applyAlignment="1">
      <alignment horizontal="center"/>
    </xf>
    <xf numFmtId="0" fontId="7" fillId="0" borderId="26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wrapText="1"/>
    </xf>
    <xf numFmtId="0" fontId="26" fillId="0" borderId="73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Fill="1" applyBorder="1" applyAlignment="1">
      <alignment horizontal="center"/>
    </xf>
    <xf numFmtId="0" fontId="7" fillId="0" borderId="55" xfId="0" applyFont="1" applyFill="1" applyBorder="1" applyAlignment="1">
      <alignment horizontal="left"/>
    </xf>
    <xf numFmtId="0" fontId="7" fillId="0" borderId="40" xfId="0" applyNumberFormat="1" applyFont="1" applyFill="1" applyBorder="1" applyAlignment="1">
      <alignment horizontal="center"/>
    </xf>
    <xf numFmtId="0" fontId="7" fillId="0" borderId="25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/>
    </xf>
    <xf numFmtId="0" fontId="7" fillId="9" borderId="0" xfId="0" applyFont="1" applyFill="1" applyBorder="1"/>
    <xf numFmtId="0" fontId="7" fillId="9" borderId="0" xfId="0" applyFont="1" applyFill="1" applyBorder="1" applyAlignment="1">
      <alignment horizontal="center"/>
    </xf>
    <xf numFmtId="0" fontId="7" fillId="9" borderId="0" xfId="0" applyFont="1" applyFill="1" applyBorder="1" applyAlignment="1">
      <alignment horizontal="left"/>
    </xf>
    <xf numFmtId="0" fontId="26" fillId="9" borderId="0" xfId="0" applyFont="1" applyFill="1" applyBorder="1"/>
    <xf numFmtId="0" fontId="26" fillId="9" borderId="0" xfId="0" applyFont="1" applyFill="1" applyBorder="1" applyAlignment="1">
      <alignment horizontal="left"/>
    </xf>
    <xf numFmtId="0" fontId="43" fillId="9" borderId="0" xfId="0" applyFont="1" applyFill="1" applyBorder="1" applyAlignment="1">
      <alignment horizontal="left"/>
    </xf>
    <xf numFmtId="9" fontId="7" fillId="9" borderId="0" xfId="0" applyNumberFormat="1" applyFont="1" applyFill="1" applyBorder="1" applyAlignment="1">
      <alignment horizontal="left"/>
    </xf>
    <xf numFmtId="0" fontId="7" fillId="6" borderId="0" xfId="0" applyFont="1" applyFill="1" applyBorder="1"/>
    <xf numFmtId="0" fontId="7" fillId="6" borderId="0" xfId="0" applyFont="1" applyFill="1" applyBorder="1" applyAlignment="1">
      <alignment horizontal="center"/>
    </xf>
    <xf numFmtId="0" fontId="26" fillId="6" borderId="0" xfId="0" applyFont="1" applyFill="1" applyBorder="1"/>
    <xf numFmtId="0" fontId="26" fillId="6" borderId="0" xfId="0" applyFont="1" applyFill="1" applyBorder="1" applyAlignment="1">
      <alignment horizontal="left"/>
    </xf>
    <xf numFmtId="0" fontId="7" fillId="6" borderId="0" xfId="0" applyFont="1" applyFill="1" applyBorder="1" applyAlignment="1">
      <alignment horizontal="left"/>
    </xf>
    <xf numFmtId="0" fontId="43" fillId="6" borderId="0" xfId="0" applyFont="1" applyFill="1" applyBorder="1" applyAlignment="1">
      <alignment horizontal="left"/>
    </xf>
    <xf numFmtId="174" fontId="7" fillId="6" borderId="0" xfId="0" applyNumberFormat="1" applyFont="1" applyFill="1" applyBorder="1" applyAlignment="1">
      <alignment horizontal="left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0" fillId="0" borderId="23" xfId="0" applyFill="1" applyBorder="1" applyProtection="1">
      <protection locked="0"/>
    </xf>
    <xf numFmtId="0" fontId="0" fillId="0" borderId="21" xfId="0" applyFill="1" applyBorder="1" applyProtection="1"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indent="15"/>
      <protection locked="0"/>
    </xf>
    <xf numFmtId="0" fontId="44" fillId="0" borderId="0" xfId="0" applyFont="1" applyBorder="1" applyAlignment="1" applyProtection="1">
      <alignment horizontal="left" vertical="center" indent="15"/>
      <protection locked="0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1" fillId="0" borderId="0" xfId="0" applyFont="1" applyFill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horizontal="left"/>
    </xf>
    <xf numFmtId="0" fontId="7" fillId="0" borderId="11" xfId="0" applyFont="1" applyFill="1" applyBorder="1"/>
    <xf numFmtId="0" fontId="7" fillId="0" borderId="12" xfId="0" applyFont="1" applyFill="1" applyBorder="1"/>
    <xf numFmtId="0" fontId="26" fillId="0" borderId="11" xfId="0" applyFont="1" applyFill="1" applyBorder="1"/>
    <xf numFmtId="0" fontId="7" fillId="0" borderId="11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26" fillId="0" borderId="12" xfId="0" applyFont="1" applyFill="1" applyBorder="1" applyAlignment="1">
      <alignment horizontal="left"/>
    </xf>
    <xf numFmtId="0" fontId="7" fillId="0" borderId="14" xfId="0" applyFont="1" applyFill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Fill="1" applyBorder="1" applyAlignment="1" applyProtection="1">
      <alignment horizontal="left"/>
    </xf>
    <xf numFmtId="0" fontId="15" fillId="0" borderId="75" xfId="0" applyFont="1" applyBorder="1" applyAlignment="1" applyProtection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NumberFormat="1" applyFont="1" applyBorder="1" applyAlignment="1" applyProtection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Fill="1" applyBorder="1"/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/>
    <xf numFmtId="0" fontId="0" fillId="0" borderId="26" xfId="0" applyFill="1" applyBorder="1" applyAlignment="1"/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Fill="1" applyBorder="1" applyAlignment="1" applyProtection="1">
      <alignment horizontal="center"/>
      <protection locked="0"/>
    </xf>
    <xf numFmtId="0" fontId="7" fillId="0" borderId="72" xfId="0" applyFont="1" applyFill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Fill="1" applyBorder="1" applyAlignment="1" applyProtection="1">
      <alignment horizontal="center" vertical="center"/>
      <protection locked="0"/>
    </xf>
    <xf numFmtId="176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73" xfId="0" applyFont="1" applyFill="1" applyBorder="1" applyAlignment="1" applyProtection="1">
      <alignment horizontal="center" vertic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Fill="1" applyBorder="1" applyAlignment="1" applyProtection="1">
      <alignment horizontal="center" wrapText="1"/>
      <protection locked="0"/>
    </xf>
    <xf numFmtId="0" fontId="31" fillId="0" borderId="21" xfId="0" applyFont="1" applyFill="1" applyBorder="1" applyAlignment="1" applyProtection="1">
      <alignment horizontal="center" vertical="center" wrapText="1"/>
      <protection locked="0"/>
    </xf>
    <xf numFmtId="1" fontId="7" fillId="0" borderId="0" xfId="0" applyNumberFormat="1" applyFont="1" applyFill="1" applyBorder="1" applyAlignment="1">
      <alignment horizontal="center" wrapText="1"/>
    </xf>
    <xf numFmtId="1" fontId="7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3" fillId="0" borderId="0" xfId="0" applyFont="1" applyAlignment="1" applyProtection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5" fontId="2" fillId="0" borderId="19" xfId="0" applyNumberFormat="1" applyFont="1" applyFill="1" applyBorder="1" applyAlignment="1">
      <alignment horizontal="center"/>
    </xf>
    <xf numFmtId="15" fontId="2" fillId="0" borderId="17" xfId="0" applyNumberFormat="1" applyFont="1" applyFill="1" applyBorder="1" applyAlignment="1">
      <alignment horizontal="center"/>
    </xf>
    <xf numFmtId="15" fontId="2" fillId="0" borderId="1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5" fillId="0" borderId="21" xfId="0" applyFont="1" applyFill="1" applyBorder="1" applyAlignment="1" applyProtection="1">
      <alignment horizontal="center" vertical="center" textRotation="180"/>
    </xf>
    <xf numFmtId="0" fontId="5" fillId="0" borderId="21" xfId="0" applyFont="1" applyFill="1" applyBorder="1" applyProtection="1"/>
    <xf numFmtId="0" fontId="5" fillId="0" borderId="37" xfId="0" applyFont="1" applyFill="1" applyBorder="1" applyAlignment="1" applyProtection="1">
      <alignment horizontal="center" vertical="center" textRotation="180"/>
    </xf>
    <xf numFmtId="0" fontId="5" fillId="0" borderId="62" xfId="0" applyFont="1" applyFill="1" applyBorder="1" applyAlignment="1" applyProtection="1">
      <alignment horizontal="center" vertical="center" textRotation="180"/>
    </xf>
    <xf numFmtId="0" fontId="5" fillId="0" borderId="21" xfId="0" applyFont="1" applyFill="1" applyBorder="1" applyAlignment="1" applyProtection="1">
      <alignment vertical="center" textRotation="180"/>
    </xf>
    <xf numFmtId="0" fontId="5" fillId="0" borderId="21" xfId="0" applyFont="1" applyBorder="1"/>
    <xf numFmtId="2" fontId="5" fillId="0" borderId="21" xfId="0" applyNumberFormat="1" applyFont="1" applyFill="1" applyBorder="1" applyAlignment="1" applyProtection="1">
      <alignment vertical="center" textRotation="180"/>
    </xf>
    <xf numFmtId="0" fontId="5" fillId="0" borderId="55" xfId="0" applyFont="1" applyFill="1" applyBorder="1" applyAlignment="1" applyProtection="1">
      <alignment horizontal="center" vertical="center" textRotation="180" shrinkToFit="1"/>
    </xf>
    <xf numFmtId="0" fontId="5" fillId="0" borderId="37" xfId="0" applyFont="1" applyFill="1" applyBorder="1" applyAlignment="1" applyProtection="1">
      <alignment horizontal="center" vertical="center" textRotation="180" shrinkToFit="1"/>
    </xf>
    <xf numFmtId="0" fontId="5" fillId="0" borderId="21" xfId="0" applyFont="1" applyFill="1" applyBorder="1" applyAlignment="1" applyProtection="1">
      <alignment horizontal="center" vertical="center" textRotation="180" shrinkToFit="1"/>
    </xf>
    <xf numFmtId="0" fontId="5" fillId="0" borderId="11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top" textRotation="180"/>
    </xf>
    <xf numFmtId="166" fontId="7" fillId="0" borderId="11" xfId="0" applyNumberFormat="1" applyFont="1" applyFill="1" applyBorder="1" applyAlignment="1" applyProtection="1">
      <alignment horizontal="center" vertical="center" textRotation="180"/>
    </xf>
    <xf numFmtId="166" fontId="7" fillId="0" borderId="0" xfId="0" applyNumberFormat="1" applyFont="1" applyFill="1" applyBorder="1" applyAlignment="1" applyProtection="1">
      <alignment horizontal="center" vertical="center" textRotation="180"/>
    </xf>
    <xf numFmtId="166" fontId="7" fillId="0" borderId="13" xfId="0" applyNumberFormat="1" applyFont="1" applyFill="1" applyBorder="1" applyAlignment="1" applyProtection="1">
      <alignment horizontal="center" vertical="center" textRotation="180"/>
    </xf>
    <xf numFmtId="166" fontId="7" fillId="0" borderId="40" xfId="0" applyNumberFormat="1" applyFont="1" applyFill="1" applyBorder="1" applyAlignment="1" applyProtection="1">
      <alignment horizontal="center" vertical="center" textRotation="180"/>
    </xf>
    <xf numFmtId="1" fontId="5" fillId="0" borderId="0" xfId="0" applyNumberFormat="1" applyFont="1" applyFill="1" applyBorder="1" applyAlignment="1" applyProtection="1">
      <alignment horizontal="center" vertical="top" textRotation="180"/>
    </xf>
    <xf numFmtId="12" fontId="5" fillId="0" borderId="21" xfId="0" applyNumberFormat="1" applyFont="1" applyFill="1" applyBorder="1" applyAlignment="1" applyProtection="1">
      <alignment horizontal="center" vertical="center" textRotation="180"/>
    </xf>
    <xf numFmtId="2" fontId="5" fillId="0" borderId="21" xfId="0" applyNumberFormat="1" applyFont="1" applyFill="1" applyBorder="1" applyAlignment="1" applyProtection="1">
      <alignment horizontal="center" vertical="center" textRotation="180"/>
    </xf>
    <xf numFmtId="2" fontId="5" fillId="0" borderId="21" xfId="0" applyNumberFormat="1" applyFont="1" applyBorder="1"/>
    <xf numFmtId="0" fontId="15" fillId="0" borderId="0" xfId="0" applyFont="1" applyFill="1" applyBorder="1" applyAlignment="1" applyProtection="1">
      <alignment horizontal="center" vertical="center" textRotation="180"/>
    </xf>
    <xf numFmtId="0" fontId="15" fillId="0" borderId="0" xfId="0" applyFont="1" applyFill="1" applyBorder="1" applyAlignment="1" applyProtection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Border="1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Fill="1" applyBorder="1" applyAlignment="1" applyProtection="1">
      <alignment horizontal="left" vertical="top" textRotation="180" shrinkToFit="1"/>
    </xf>
    <xf numFmtId="0" fontId="0" fillId="0" borderId="0" xfId="0" applyBorder="1" applyAlignment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15" fillId="0" borderId="11" xfId="0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top" textRotation="180"/>
    </xf>
    <xf numFmtId="0" fontId="15" fillId="0" borderId="12" xfId="0" applyFont="1" applyFill="1" applyBorder="1" applyAlignment="1" applyProtection="1">
      <alignment horizontal="center" vertical="top" textRotation="180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7" fillId="0" borderId="41" xfId="0" applyFont="1" applyFill="1" applyBorder="1" applyAlignment="1" applyProtection="1">
      <alignment horizontal="center" vertical="center"/>
    </xf>
    <xf numFmtId="0" fontId="7" fillId="0" borderId="45" xfId="0" applyFont="1" applyFill="1" applyBorder="1" applyAlignment="1" applyProtection="1">
      <alignment horizontal="center" vertical="center"/>
    </xf>
    <xf numFmtId="0" fontId="7" fillId="0" borderId="46" xfId="0" applyFont="1" applyFill="1" applyBorder="1" applyAlignment="1" applyProtection="1">
      <alignment horizontal="center" vertical="center"/>
    </xf>
    <xf numFmtId="0" fontId="5" fillId="0" borderId="38" xfId="0" applyFont="1" applyFill="1" applyBorder="1" applyAlignment="1" applyProtection="1">
      <alignment horizontal="center" vertical="top" textRotation="180"/>
    </xf>
    <xf numFmtId="0" fontId="5" fillId="0" borderId="12" xfId="0" applyFont="1" applyFill="1" applyBorder="1" applyAlignment="1" applyProtection="1">
      <alignment horizontal="center" vertical="top" textRotation="180"/>
    </xf>
    <xf numFmtId="0" fontId="5" fillId="0" borderId="48" xfId="0" applyFont="1" applyFill="1" applyBorder="1" applyAlignment="1" applyProtection="1">
      <alignment horizontal="center" vertical="top" textRotation="180"/>
    </xf>
    <xf numFmtId="0" fontId="5" fillId="0" borderId="50" xfId="0" applyFont="1" applyFill="1" applyBorder="1" applyAlignment="1" applyProtection="1">
      <alignment horizontal="center" vertical="top" textRotation="180"/>
    </xf>
    <xf numFmtId="2" fontId="5" fillId="0" borderId="0" xfId="0" applyNumberFormat="1" applyFont="1" applyFill="1" applyBorder="1" applyAlignment="1" applyProtection="1">
      <alignment horizontal="center" vertical="top" textRotation="180"/>
    </xf>
    <xf numFmtId="2" fontId="5" fillId="0" borderId="40" xfId="0" applyNumberFormat="1" applyFont="1" applyFill="1" applyBorder="1" applyAlignment="1" applyProtection="1">
      <alignment horizontal="center" vertical="top" textRotation="180"/>
    </xf>
    <xf numFmtId="0" fontId="5" fillId="0" borderId="40" xfId="0" applyFont="1" applyFill="1" applyBorder="1" applyAlignment="1" applyProtection="1">
      <alignment horizontal="center" vertical="top" textRotation="180"/>
    </xf>
    <xf numFmtId="0" fontId="5" fillId="0" borderId="14" xfId="0" applyFont="1" applyFill="1" applyBorder="1" applyAlignment="1" applyProtection="1">
      <alignment horizontal="center" vertical="top" textRotation="180"/>
    </xf>
    <xf numFmtId="0" fontId="7" fillId="0" borderId="38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center" vertical="top" textRotation="180" shrinkToFit="1"/>
    </xf>
    <xf numFmtId="0" fontId="7" fillId="0" borderId="12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Fill="1" applyBorder="1" applyAlignment="1" applyProtection="1">
      <alignment horizontal="center" vertical="top" textRotation="180"/>
    </xf>
    <xf numFmtId="0" fontId="5" fillId="0" borderId="42" xfId="0" applyNumberFormat="1" applyFont="1" applyFill="1" applyBorder="1" applyAlignment="1" applyProtection="1">
      <alignment horizontal="center" vertical="top" textRotation="180"/>
    </xf>
    <xf numFmtId="0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58" xfId="0" applyNumberFormat="1" applyFont="1" applyFill="1" applyBorder="1" applyAlignment="1" applyProtection="1">
      <alignment horizontal="center" vertical="top" textRotation="180"/>
    </xf>
    <xf numFmtId="0" fontId="5" fillId="0" borderId="61" xfId="0" applyNumberFormat="1" applyFont="1" applyFill="1" applyBorder="1" applyAlignment="1" applyProtection="1">
      <alignment horizontal="center" vertical="top" textRotation="180"/>
    </xf>
    <xf numFmtId="0" fontId="5" fillId="0" borderId="67" xfId="0" applyNumberFormat="1" applyFont="1" applyFill="1" applyBorder="1" applyAlignment="1" applyProtection="1">
      <alignment horizontal="center" vertical="top" textRotation="180"/>
    </xf>
    <xf numFmtId="0" fontId="5" fillId="0" borderId="68" xfId="0" applyNumberFormat="1" applyFont="1" applyFill="1" applyBorder="1" applyAlignment="1" applyProtection="1">
      <alignment horizontal="center" vertical="top" textRotation="180"/>
    </xf>
    <xf numFmtId="0" fontId="5" fillId="0" borderId="0" xfId="0" applyNumberFormat="1" applyFont="1" applyFill="1" applyBorder="1" applyAlignment="1" applyProtection="1">
      <alignment horizontal="center" vertical="top" textRotation="180"/>
    </xf>
    <xf numFmtId="0" fontId="5" fillId="0" borderId="12" xfId="0" quotePrefix="1" applyNumberFormat="1" applyFont="1" applyFill="1" applyBorder="1" applyAlignment="1" applyProtection="1">
      <alignment horizontal="center" vertical="top" textRotation="180"/>
    </xf>
    <xf numFmtId="0" fontId="5" fillId="0" borderId="0" xfId="0" quotePrefix="1" applyNumberFormat="1" applyFont="1" applyFill="1" applyBorder="1" applyAlignment="1" applyProtection="1">
      <alignment horizontal="center" vertical="top" textRotation="180"/>
    </xf>
    <xf numFmtId="0" fontId="5" fillId="0" borderId="40" xfId="0" quotePrefix="1" applyNumberFormat="1" applyFont="1" applyFill="1" applyBorder="1" applyAlignment="1" applyProtection="1">
      <alignment horizontal="center" vertical="top" textRotation="180"/>
    </xf>
    <xf numFmtId="0" fontId="5" fillId="0" borderId="14" xfId="0" quotePrefix="1" applyNumberFormat="1" applyFont="1" applyFill="1" applyBorder="1" applyAlignment="1" applyProtection="1">
      <alignment horizontal="center" vertical="top" textRotation="180"/>
    </xf>
    <xf numFmtId="0" fontId="5" fillId="0" borderId="21" xfId="0" applyNumberFormat="1" applyFont="1" applyFill="1" applyBorder="1" applyAlignment="1">
      <alignment vertical="center" textRotation="180"/>
    </xf>
    <xf numFmtId="0" fontId="11" fillId="0" borderId="0" xfId="0" applyFont="1" applyFill="1" applyBorder="1" applyAlignment="1" applyProtection="1">
      <alignment horizont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52" xfId="0" applyFont="1" applyFill="1" applyBorder="1" applyAlignment="1" applyProtection="1">
      <alignment horizontal="center" vertical="top" textRotation="180"/>
    </xf>
    <xf numFmtId="0" fontId="6" fillId="0" borderId="11" xfId="0" applyFont="1" applyFill="1" applyBorder="1" applyAlignment="1" applyProtection="1">
      <alignment horizontal="center" vertical="center" textRotation="180"/>
    </xf>
    <xf numFmtId="0" fontId="6" fillId="0" borderId="0" xfId="0" applyFont="1" applyFill="1" applyBorder="1" applyAlignment="1" applyProtection="1">
      <alignment horizontal="center" vertical="center" textRotation="180"/>
    </xf>
    <xf numFmtId="0" fontId="5" fillId="0" borderId="21" xfId="0" applyFont="1" applyBorder="1" applyAlignment="1">
      <alignment vertical="center" textRotation="180"/>
    </xf>
    <xf numFmtId="0" fontId="5" fillId="0" borderId="27" xfId="0" applyFont="1" applyFill="1" applyBorder="1" applyAlignment="1" applyProtection="1">
      <alignment horizontal="center" vertical="center" textRotation="180"/>
    </xf>
    <xf numFmtId="0" fontId="6" fillId="0" borderId="0" xfId="0" applyFont="1" applyFill="1" applyBorder="1" applyAlignment="1" applyProtection="1">
      <alignment horizontal="left"/>
    </xf>
    <xf numFmtId="0" fontId="7" fillId="0" borderId="0" xfId="0" applyNumberFormat="1" applyFont="1" applyFill="1" applyBorder="1" applyAlignment="1" applyProtection="1">
      <alignment horizontal="left"/>
    </xf>
    <xf numFmtId="0" fontId="7" fillId="0" borderId="12" xfId="0" applyNumberFormat="1" applyFont="1" applyFill="1" applyBorder="1" applyAlignment="1" applyProtection="1">
      <alignment horizontal="left"/>
    </xf>
    <xf numFmtId="0" fontId="7" fillId="0" borderId="40" xfId="0" applyNumberFormat="1" applyFont="1" applyFill="1" applyBorder="1" applyAlignment="1" applyProtection="1">
      <alignment horizontal="left"/>
    </xf>
    <xf numFmtId="0" fontId="7" fillId="0" borderId="14" xfId="0" applyNumberFormat="1" applyFont="1" applyFill="1" applyBorder="1" applyAlignment="1" applyProtection="1">
      <alignment horizontal="left"/>
    </xf>
    <xf numFmtId="2" fontId="5" fillId="0" borderId="0" xfId="0" applyNumberFormat="1" applyFont="1" applyFill="1" applyBorder="1" applyAlignment="1" applyProtection="1">
      <alignment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7" fillId="0" borderId="0" xfId="0" applyFont="1" applyFill="1" applyBorder="1" applyAlignment="1" applyProtection="1">
      <alignment horizontal="left"/>
    </xf>
    <xf numFmtId="0" fontId="7" fillId="0" borderId="12" xfId="0" applyFont="1" applyFill="1" applyBorder="1" applyAlignment="1" applyProtection="1">
      <alignment horizontal="left"/>
    </xf>
    <xf numFmtId="0" fontId="7" fillId="0" borderId="40" xfId="0" applyFont="1" applyFill="1" applyBorder="1" applyAlignment="1" applyProtection="1">
      <alignment horizontal="left"/>
    </xf>
    <xf numFmtId="0" fontId="7" fillId="0" borderId="14" xfId="0" applyFont="1" applyFill="1" applyBorder="1" applyAlignment="1" applyProtection="1">
      <alignment horizontal="left"/>
    </xf>
    <xf numFmtId="0" fontId="0" fillId="0" borderId="0" xfId="0" applyBorder="1" applyAlignment="1">
      <alignment horizontal="left"/>
    </xf>
    <xf numFmtId="0" fontId="48" fillId="0" borderId="36" xfId="0" applyFont="1" applyFill="1" applyBorder="1" applyAlignment="1" applyProtection="1">
      <alignment horizontal="left"/>
    </xf>
    <xf numFmtId="0" fontId="48" fillId="0" borderId="7" xfId="0" applyFont="1" applyFill="1" applyBorder="1" applyAlignment="1" applyProtection="1">
      <alignment horizontal="left"/>
    </xf>
    <xf numFmtId="0" fontId="48" fillId="0" borderId="40" xfId="0" applyFont="1" applyFill="1" applyBorder="1" applyAlignment="1" applyProtection="1">
      <alignment horizontal="left"/>
    </xf>
    <xf numFmtId="0" fontId="48" fillId="0" borderId="14" xfId="0" applyFont="1" applyFill="1" applyBorder="1" applyAlignment="1" applyProtection="1">
      <alignment horizontal="left"/>
    </xf>
    <xf numFmtId="166" fontId="7" fillId="0" borderId="41" xfId="0" applyNumberFormat="1" applyFont="1" applyFill="1" applyBorder="1" applyAlignment="1" applyProtection="1">
      <alignment horizontal="center" vertical="center" textRotation="180"/>
    </xf>
    <xf numFmtId="166" fontId="7" fillId="0" borderId="45" xfId="0" applyNumberFormat="1" applyFont="1" applyFill="1" applyBorder="1" applyAlignment="1" applyProtection="1">
      <alignment horizontal="center" vertical="center" textRotation="180"/>
    </xf>
    <xf numFmtId="2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center" textRotation="180"/>
    </xf>
    <xf numFmtId="0" fontId="2" fillId="0" borderId="11" xfId="0" applyFont="1" applyFill="1" applyBorder="1" applyAlignment="1" applyProtection="1">
      <alignment horizontal="center" vertical="top" textRotation="180" shrinkToFit="1"/>
    </xf>
    <xf numFmtId="0" fontId="2" fillId="0" borderId="0" xfId="0" applyFont="1" applyFill="1" applyBorder="1" applyAlignment="1" applyProtection="1">
      <alignment horizontal="center" vertical="top" textRotation="180" shrinkToFit="1"/>
    </xf>
    <xf numFmtId="0" fontId="2" fillId="0" borderId="52" xfId="0" applyFont="1" applyFill="1" applyBorder="1" applyAlignment="1" applyProtection="1">
      <alignment horizontal="center" vertical="top" textRotation="180" shrinkToFit="1"/>
    </xf>
    <xf numFmtId="0" fontId="2" fillId="0" borderId="13" xfId="0" applyFont="1" applyFill="1" applyBorder="1" applyAlignment="1" applyProtection="1">
      <alignment horizontal="center" vertical="top" textRotation="180" shrinkToFit="1"/>
    </xf>
    <xf numFmtId="0" fontId="2" fillId="0" borderId="40" xfId="0" applyFont="1" applyFill="1" applyBorder="1" applyAlignment="1" applyProtection="1">
      <alignment horizontal="center" vertical="top" textRotation="180" shrinkToFit="1"/>
    </xf>
    <xf numFmtId="0" fontId="2" fillId="0" borderId="66" xfId="0" applyFont="1" applyFill="1" applyBorder="1" applyAlignment="1" applyProtection="1">
      <alignment horizontal="center" vertical="top" textRotation="180" shrinkToFit="1"/>
    </xf>
    <xf numFmtId="2" fontId="5" fillId="0" borderId="21" xfId="0" applyNumberFormat="1" applyFont="1" applyFill="1" applyBorder="1" applyAlignment="1">
      <alignment vertical="center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34" xfId="0" applyFont="1" applyFill="1" applyBorder="1" applyAlignment="1" applyProtection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34" xfId="0" applyNumberFormat="1" applyFont="1" applyFill="1" applyBorder="1" applyAlignment="1" applyProtection="1">
      <alignment vertical="center" textRotation="180"/>
    </xf>
    <xf numFmtId="0" fontId="5" fillId="0" borderId="43" xfId="0" applyFont="1" applyFill="1" applyBorder="1" applyAlignment="1" applyProtection="1">
      <alignment horizontal="center"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Fill="1" applyBorder="1" applyAlignment="1" applyProtection="1">
      <alignment horizontal="center" vertical="center" textRotation="180"/>
    </xf>
    <xf numFmtId="0" fontId="5" fillId="0" borderId="34" xfId="0" applyNumberFormat="1" applyFont="1" applyFill="1" applyBorder="1" applyAlignment="1">
      <alignment vertical="center" textRotation="180"/>
    </xf>
    <xf numFmtId="0" fontId="5" fillId="0" borderId="38" xfId="0" applyNumberFormat="1" applyFont="1" applyFill="1" applyBorder="1" applyAlignment="1">
      <alignment vertical="center" textRotation="180"/>
    </xf>
    <xf numFmtId="0" fontId="5" fillId="0" borderId="42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horizontal="center" vertical="center" textRotation="180"/>
    </xf>
    <xf numFmtId="0" fontId="5" fillId="0" borderId="38" xfId="0" applyFont="1" applyFill="1" applyBorder="1" applyProtection="1"/>
    <xf numFmtId="0" fontId="5" fillId="0" borderId="54" xfId="0" applyFont="1" applyFill="1" applyBorder="1" applyProtection="1"/>
    <xf numFmtId="0" fontId="5" fillId="0" borderId="35" xfId="0" applyNumberFormat="1" applyFont="1" applyFill="1" applyBorder="1" applyAlignment="1">
      <alignment vertical="center" textRotation="180"/>
    </xf>
    <xf numFmtId="0" fontId="5" fillId="0" borderId="39" xfId="0" applyNumberFormat="1" applyFont="1" applyFill="1" applyBorder="1" applyAlignment="1">
      <alignment vertical="center" textRotation="180"/>
    </xf>
    <xf numFmtId="2" fontId="5" fillId="0" borderId="34" xfId="0" applyNumberFormat="1" applyFont="1" applyFill="1" applyBorder="1" applyAlignment="1">
      <alignment vertical="center" textRotation="180"/>
    </xf>
    <xf numFmtId="2" fontId="5" fillId="0" borderId="38" xfId="0" applyNumberFormat="1" applyFont="1" applyFill="1" applyBorder="1" applyAlignment="1">
      <alignment vertical="center" textRotation="180"/>
    </xf>
    <xf numFmtId="0" fontId="5" fillId="0" borderId="54" xfId="0" applyFont="1" applyBorder="1"/>
    <xf numFmtId="0" fontId="5" fillId="0" borderId="54" xfId="0" applyNumberFormat="1" applyFont="1" applyFill="1" applyBorder="1" applyAlignment="1">
      <alignment vertical="center" textRotation="180"/>
    </xf>
    <xf numFmtId="0" fontId="5" fillId="0" borderId="44" xfId="0" applyNumberFormat="1" applyFont="1" applyFill="1" applyBorder="1" applyAlignment="1">
      <alignment vertical="center" textRotation="180"/>
    </xf>
    <xf numFmtId="0" fontId="5" fillId="0" borderId="44" xfId="0" applyFont="1" applyBorder="1" applyAlignment="1">
      <alignment vertical="center" textRotation="180"/>
    </xf>
    <xf numFmtId="0" fontId="5" fillId="0" borderId="38" xfId="0" applyFont="1" applyBorder="1" applyAlignment="1">
      <alignment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53" xfId="0" applyFont="1" applyBorder="1"/>
    <xf numFmtId="2" fontId="5" fillId="0" borderId="44" xfId="0" applyNumberFormat="1" applyFont="1" applyFill="1" applyBorder="1" applyAlignment="1" applyProtection="1">
      <alignment horizontal="center"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6" xfId="0" applyFont="1" applyFill="1" applyBorder="1" applyAlignment="1" applyProtection="1">
      <alignment vertical="center" textRotation="180"/>
    </xf>
    <xf numFmtId="0" fontId="5" fillId="0" borderId="13" xfId="0" applyFont="1" applyFill="1" applyBorder="1" applyAlignment="1" applyProtection="1">
      <alignment horizontal="center" vertical="top" textRotation="180"/>
    </xf>
    <xf numFmtId="0" fontId="5" fillId="0" borderId="66" xfId="0" applyFont="1" applyFill="1" applyBorder="1" applyAlignment="1" applyProtection="1">
      <alignment horizontal="center" vertical="top" textRotation="180"/>
    </xf>
    <xf numFmtId="0" fontId="5" fillId="0" borderId="38" xfId="0" applyFont="1" applyFill="1" applyBorder="1" applyAlignment="1" applyProtection="1">
      <alignment horizontal="center" vertical="center" textRotation="180" shrinkToFit="1"/>
    </xf>
    <xf numFmtId="0" fontId="5" fillId="0" borderId="57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Border="1" applyAlignment="1"/>
    <xf numFmtId="0" fontId="5" fillId="0" borderId="56" xfId="0" applyFont="1" applyBorder="1" applyAlignment="1"/>
    <xf numFmtId="2" fontId="5" fillId="0" borderId="43" xfId="0" applyNumberFormat="1" applyFont="1" applyFill="1" applyBorder="1" applyAlignment="1" applyProtection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39" xfId="0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horizontal="center" vertical="center" textRotation="180"/>
    </xf>
    <xf numFmtId="0" fontId="5" fillId="0" borderId="39" xfId="0" applyFont="1" applyFill="1" applyBorder="1" applyProtection="1"/>
    <xf numFmtId="0" fontId="5" fillId="0" borderId="42" xfId="0" applyFont="1" applyFill="1" applyBorder="1" applyAlignment="1" applyProtection="1">
      <alignment horizontal="center" vertical="center" textRotation="180"/>
    </xf>
    <xf numFmtId="0" fontId="5" fillId="0" borderId="58" xfId="0" applyFont="1" applyFill="1" applyBorder="1" applyProtection="1"/>
    <xf numFmtId="0" fontId="5" fillId="0" borderId="64" xfId="0" applyFont="1" applyFill="1" applyBorder="1" applyProtection="1"/>
    <xf numFmtId="0" fontId="5" fillId="0" borderId="59" xfId="0" applyFont="1" applyFill="1" applyBorder="1" applyAlignment="1" applyProtection="1">
      <alignment horizontal="center" vertical="center" textRotation="180" shrinkToFit="1"/>
    </xf>
    <xf numFmtId="0" fontId="5" fillId="0" borderId="56" xfId="0" applyFont="1" applyFill="1" applyBorder="1" applyAlignment="1" applyProtection="1">
      <alignment horizontal="center" vertical="center" textRotation="180" shrinkToFit="1"/>
    </xf>
    <xf numFmtId="12" fontId="5" fillId="0" borderId="56" xfId="0" applyNumberFormat="1" applyFont="1" applyFill="1" applyBorder="1" applyAlignment="1" applyProtection="1">
      <alignment horizontal="center" vertical="center" textRotation="180"/>
    </xf>
    <xf numFmtId="0" fontId="5" fillId="0" borderId="39" xfId="0" applyFont="1" applyFill="1" applyBorder="1" applyAlignment="1" applyProtection="1">
      <alignment vertical="center" textRotation="180"/>
    </xf>
    <xf numFmtId="0" fontId="5" fillId="0" borderId="60" xfId="0" applyFont="1" applyFill="1" applyBorder="1" applyAlignment="1" applyProtection="1">
      <alignment vertical="center" textRotation="180"/>
    </xf>
    <xf numFmtId="0" fontId="5" fillId="0" borderId="59" xfId="0" applyFont="1" applyFill="1" applyBorder="1" applyAlignment="1" applyProtection="1">
      <alignment vertical="center" textRotation="180"/>
    </xf>
    <xf numFmtId="0" fontId="5" fillId="0" borderId="56" xfId="0" applyFont="1" applyFill="1" applyBorder="1" applyAlignment="1" applyProtection="1">
      <alignment vertical="center" textRotation="180"/>
    </xf>
    <xf numFmtId="0" fontId="5" fillId="0" borderId="43" xfId="0" applyFont="1" applyFill="1" applyBorder="1" applyAlignment="1" applyProtection="1">
      <alignment vertical="center" textRotation="180"/>
    </xf>
    <xf numFmtId="0" fontId="5" fillId="0" borderId="44" xfId="0" applyFont="1" applyFill="1" applyBorder="1" applyAlignment="1" applyProtection="1">
      <alignment vertical="center" textRotation="180"/>
    </xf>
    <xf numFmtId="2" fontId="5" fillId="0" borderId="44" xfId="0" applyNumberFormat="1" applyFont="1" applyFill="1" applyBorder="1" applyAlignment="1" applyProtection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65" xfId="0" applyFont="1" applyFill="1" applyBorder="1" applyAlignment="1" applyProtection="1">
      <alignment vertical="center" textRotation="180"/>
    </xf>
    <xf numFmtId="0" fontId="5" fillId="0" borderId="11" xfId="0" applyFont="1" applyFill="1" applyBorder="1" applyAlignment="1" applyProtection="1">
      <alignment horizontal="center" vertical="center" textRotation="180" shrinkToFit="1"/>
    </xf>
    <xf numFmtId="167" fontId="5" fillId="0" borderId="11" xfId="0" applyNumberFormat="1" applyFont="1" applyFill="1" applyBorder="1" applyAlignment="1" applyProtection="1">
      <alignment horizontal="center" vertical="top" textRotation="180"/>
    </xf>
    <xf numFmtId="167" fontId="5" fillId="0" borderId="0" xfId="0" applyNumberFormat="1" applyFont="1" applyFill="1" applyBorder="1" applyAlignment="1" applyProtection="1">
      <alignment horizontal="center" vertical="top" textRotation="180"/>
    </xf>
    <xf numFmtId="167" fontId="5" fillId="0" borderId="41" xfId="0" applyNumberFormat="1" applyFont="1" applyFill="1" applyBorder="1" applyAlignment="1" applyProtection="1">
      <alignment horizontal="center" vertical="top" textRotation="180"/>
    </xf>
    <xf numFmtId="167" fontId="5" fillId="0" borderId="45" xfId="0" applyNumberFormat="1" applyFont="1" applyFill="1" applyBorder="1" applyAlignment="1" applyProtection="1">
      <alignment horizontal="center" vertical="top" textRotation="180"/>
    </xf>
    <xf numFmtId="0" fontId="1" fillId="0" borderId="11" xfId="0" applyFont="1" applyFill="1" applyBorder="1" applyAlignment="1" applyProtection="1">
      <alignment horizontal="center" vertical="center" textRotation="180"/>
    </xf>
    <xf numFmtId="0" fontId="0" fillId="0" borderId="0" xfId="0" applyFill="1" applyBorder="1" applyAlignment="1" applyProtection="1">
      <alignment horizontal="center" vertical="center" textRotation="180"/>
    </xf>
    <xf numFmtId="0" fontId="0" fillId="0" borderId="11" xfId="0" applyFill="1" applyBorder="1" applyAlignment="1" applyProtection="1">
      <alignment horizontal="center" vertical="center" textRotation="180"/>
    </xf>
    <xf numFmtId="0" fontId="1" fillId="0" borderId="0" xfId="0" applyFont="1" applyFill="1" applyBorder="1" applyAlignment="1" applyProtection="1">
      <alignment horizontal="center" vertical="center" textRotation="18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8" fillId="0" borderId="21" xfId="0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6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 applyProtection="1">
      <alignment horizontal="center"/>
      <protection locked="0"/>
    </xf>
    <xf numFmtId="0" fontId="6" fillId="0" borderId="0" xfId="0" applyFont="1" applyFill="1" applyAlignment="1">
      <alignment horizontal="left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24" fillId="0" borderId="6" xfId="0" applyFont="1" applyFill="1" applyBorder="1" applyAlignment="1" applyProtection="1">
      <alignment horizontal="center" vertical="center"/>
      <protection locked="0"/>
    </xf>
    <xf numFmtId="0" fontId="24" fillId="0" borderId="36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left"/>
      <protection locked="0"/>
    </xf>
    <xf numFmtId="0" fontId="24" fillId="0" borderId="40" xfId="0" applyFont="1" applyFill="1" applyBorder="1" applyAlignment="1" applyProtection="1">
      <alignment horizontal="left"/>
      <protection locked="0"/>
    </xf>
    <xf numFmtId="0" fontId="24" fillId="0" borderId="69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8" fillId="0" borderId="6" xfId="0" applyFont="1" applyFill="1" applyBorder="1" applyAlignment="1" applyProtection="1">
      <alignment horizontal="center" vertical="center"/>
      <protection locked="0"/>
    </xf>
    <xf numFmtId="0" fontId="28" fillId="0" borderId="36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left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4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left" vertical="center"/>
      <protection locked="0"/>
    </xf>
    <xf numFmtId="0" fontId="24" fillId="0" borderId="69" xfId="0" applyFont="1" applyFill="1" applyBorder="1" applyAlignment="1" applyProtection="1">
      <alignment horizontal="left" vertical="center"/>
      <protection locked="0"/>
    </xf>
    <xf numFmtId="0" fontId="25" fillId="0" borderId="30" xfId="0" applyFont="1" applyFill="1" applyBorder="1" applyAlignment="1" applyProtection="1">
      <alignment horizontal="center" vertical="center"/>
      <protection locked="0"/>
    </xf>
    <xf numFmtId="0" fontId="25" fillId="0" borderId="69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5" fillId="0" borderId="69" xfId="0" applyFont="1" applyFill="1" applyBorder="1" applyAlignment="1" applyProtection="1">
      <alignment horizontal="left" vertical="center"/>
      <protection locked="0"/>
    </xf>
    <xf numFmtId="0" fontId="24" fillId="0" borderId="30" xfId="0" applyFont="1" applyFill="1" applyBorder="1" applyAlignment="1" applyProtection="1">
      <alignment horizontal="left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left"/>
      <protection locked="0"/>
    </xf>
    <xf numFmtId="0" fontId="28" fillId="0" borderId="13" xfId="0" applyFont="1" applyFill="1" applyBorder="1" applyAlignment="1" applyProtection="1">
      <alignment horizontal="center" vertical="center"/>
      <protection locked="0"/>
    </xf>
    <xf numFmtId="0" fontId="28" fillId="0" borderId="40" xfId="0" applyFont="1" applyFill="1" applyBorder="1" applyAlignment="1" applyProtection="1">
      <alignment horizontal="center" vertical="center"/>
      <protection locked="0"/>
    </xf>
    <xf numFmtId="0" fontId="25" fillId="0" borderId="6" xfId="0" applyFont="1" applyFill="1" applyBorder="1" applyAlignment="1" applyProtection="1">
      <alignment horizontal="left"/>
      <protection locked="0"/>
    </xf>
    <xf numFmtId="0" fontId="25" fillId="0" borderId="36" xfId="0" applyFont="1" applyFill="1" applyBorder="1" applyAlignment="1" applyProtection="1">
      <alignment horizontal="left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7" fillId="0" borderId="21" xfId="0" applyFont="1" applyFill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43" fillId="5" borderId="21" xfId="0" applyFont="1" applyFill="1" applyBorder="1" applyAlignment="1">
      <alignment horizontal="center" vertical="center"/>
    </xf>
    <xf numFmtId="49" fontId="43" fillId="0" borderId="21" xfId="0" applyNumberFormat="1" applyFont="1" applyFill="1" applyBorder="1" applyAlignment="1">
      <alignment horizontal="center" vertical="center"/>
    </xf>
    <xf numFmtId="0" fontId="43" fillId="0" borderId="21" xfId="0" applyFont="1" applyFill="1" applyBorder="1" applyAlignment="1">
      <alignment horizontal="center" vertical="center"/>
    </xf>
    <xf numFmtId="176" fontId="43" fillId="0" borderId="20" xfId="0" applyNumberFormat="1" applyFont="1" applyFill="1" applyBorder="1" applyAlignment="1">
      <alignment horizontal="center" vertical="center"/>
    </xf>
    <xf numFmtId="176" fontId="43" fillId="0" borderId="21" xfId="0" applyNumberFormat="1" applyFont="1" applyFill="1" applyBorder="1" applyAlignment="1">
      <alignment horizontal="center" vertical="center"/>
    </xf>
    <xf numFmtId="0" fontId="43" fillId="0" borderId="21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17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50" fillId="0" borderId="20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 shrinkToFit="1"/>
    </xf>
    <xf numFmtId="0" fontId="50" fillId="0" borderId="6" xfId="0" applyFont="1" applyFill="1" applyBorder="1" applyAlignment="1">
      <alignment horizontal="center" vertical="center" wrapText="1" shrinkToFit="1"/>
    </xf>
    <xf numFmtId="0" fontId="50" fillId="0" borderId="36" xfId="0" applyFont="1" applyFill="1" applyBorder="1" applyAlignment="1">
      <alignment horizontal="center" vertical="center" wrapText="1" shrinkToFit="1"/>
    </xf>
    <xf numFmtId="0" fontId="50" fillId="0" borderId="11" xfId="0" applyFont="1" applyFill="1" applyBorder="1" applyAlignment="1">
      <alignment horizontal="center" vertical="center" wrapText="1" shrinkToFit="1"/>
    </xf>
    <xf numFmtId="0" fontId="50" fillId="0" borderId="0" xfId="0" applyFont="1" applyFill="1" applyBorder="1" applyAlignment="1">
      <alignment horizontal="center" vertical="center" wrapText="1" shrinkToFit="1"/>
    </xf>
    <xf numFmtId="0" fontId="50" fillId="0" borderId="22" xfId="0" applyFont="1" applyFill="1" applyBorder="1" applyAlignment="1">
      <alignment horizontal="center" vertical="center" wrapText="1"/>
    </xf>
    <xf numFmtId="49" fontId="43" fillId="0" borderId="21" xfId="4" applyNumberFormat="1" applyFont="1" applyBorder="1" applyAlignment="1">
      <alignment horizontal="center" vertical="center"/>
    </xf>
    <xf numFmtId="49" fontId="43" fillId="0" borderId="21" xfId="0" applyNumberFormat="1" applyFont="1" applyBorder="1" applyAlignment="1">
      <alignment horizontal="center" vertical="center"/>
    </xf>
    <xf numFmtId="0" fontId="43" fillId="0" borderId="22" xfId="0" applyFont="1" applyFill="1" applyBorder="1" applyAlignment="1">
      <alignment horizontal="center" vertical="center"/>
    </xf>
    <xf numFmtId="0" fontId="43" fillId="0" borderId="6" xfId="0" applyFont="1" applyFill="1" applyBorder="1" applyAlignment="1">
      <alignment horizontal="center" vertical="center"/>
    </xf>
    <xf numFmtId="0" fontId="43" fillId="0" borderId="7" xfId="0" applyFont="1" applyFill="1" applyBorder="1" applyAlignment="1">
      <alignment horizontal="center" vertical="center"/>
    </xf>
    <xf numFmtId="0" fontId="43" fillId="0" borderId="13" xfId="0" applyFont="1" applyFill="1" applyBorder="1" applyAlignment="1">
      <alignment horizontal="center" vertical="center"/>
    </xf>
    <xf numFmtId="0" fontId="43" fillId="0" borderId="14" xfId="0" applyFont="1" applyFill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0" borderId="6" xfId="0" applyNumberFormat="1" applyFont="1" applyFill="1" applyBorder="1" applyAlignment="1">
      <alignment horizontal="center" vertical="center"/>
    </xf>
    <xf numFmtId="0" fontId="43" fillId="0" borderId="13" xfId="0" applyNumberFormat="1" applyFont="1" applyFill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6" xfId="0" applyNumberFormat="1" applyFont="1" applyFill="1" applyBorder="1" applyAlignment="1">
      <alignment horizontal="center" vertical="center"/>
    </xf>
    <xf numFmtId="49" fontId="43" fillId="0" borderId="36" xfId="0" applyNumberFormat="1" applyFont="1" applyFill="1" applyBorder="1" applyAlignment="1">
      <alignment horizontal="center" vertical="center"/>
    </xf>
    <xf numFmtId="49" fontId="43" fillId="0" borderId="13" xfId="0" applyNumberFormat="1" applyFont="1" applyFill="1" applyBorder="1" applyAlignment="1">
      <alignment horizontal="center" vertical="center"/>
    </xf>
    <xf numFmtId="49" fontId="43" fillId="0" borderId="40" xfId="0" applyNumberFormat="1" applyFont="1" applyFill="1" applyBorder="1" applyAlignment="1">
      <alignment horizontal="center" vertical="center"/>
    </xf>
    <xf numFmtId="0" fontId="43" fillId="0" borderId="11" xfId="0" applyFont="1" applyFill="1" applyBorder="1" applyAlignment="1">
      <alignment horizontal="center" vertical="center"/>
    </xf>
    <xf numFmtId="0" fontId="43" fillId="0" borderId="12" xfId="0" applyFont="1" applyFill="1" applyBorder="1" applyAlignment="1">
      <alignment horizontal="center" vertical="center"/>
    </xf>
    <xf numFmtId="0" fontId="43" fillId="0" borderId="11" xfId="0" applyNumberFormat="1" applyFont="1" applyFill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11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43" fillId="0" borderId="36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43" fillId="0" borderId="73" xfId="0" applyFont="1" applyFill="1" applyBorder="1" applyAlignment="1">
      <alignment horizontal="center" vertical="center"/>
    </xf>
    <xf numFmtId="0" fontId="27" fillId="0" borderId="30" xfId="0" applyFont="1" applyFill="1" applyBorder="1" applyAlignment="1">
      <alignment horizontal="center" vertical="center"/>
    </xf>
    <xf numFmtId="0" fontId="27" fillId="0" borderId="69" xfId="0" applyFont="1" applyFill="1" applyBorder="1" applyAlignment="1">
      <alignment horizontal="center" vertical="center"/>
    </xf>
    <xf numFmtId="0" fontId="27" fillId="0" borderId="23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0" fontId="7" fillId="0" borderId="40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7" fillId="0" borderId="21" xfId="0" applyFont="1" applyBorder="1" applyAlignment="1" applyProtection="1">
      <alignment horizont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Fill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0" borderId="20" xfId="0" applyFont="1" applyFill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21" xfId="0" applyFont="1" applyFill="1" applyBorder="1" applyAlignment="1" applyProtection="1">
      <alignment horizontal="center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abSelected="1" topLeftCell="A13" zoomScaleNormal="100" workbookViewId="0">
      <selection activeCell="C29" sqref="C29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474</v>
      </c>
      <c r="F2"/>
      <c r="G2"/>
      <c r="I2" s="398"/>
      <c r="J2" s="398"/>
      <c r="K2" s="398"/>
      <c r="L2" s="398"/>
      <c r="M2" s="398"/>
      <c r="N2" s="398"/>
      <c r="O2" s="398"/>
      <c r="P2" s="398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477</v>
      </c>
      <c r="C3"/>
      <c r="D3" s="1" t="s">
        <v>4</v>
      </c>
      <c r="E3" s="6" t="s">
        <v>475</v>
      </c>
      <c r="F3"/>
      <c r="G3"/>
      <c r="I3" s="398"/>
      <c r="J3" s="398"/>
      <c r="K3" s="398"/>
      <c r="L3" s="398"/>
      <c r="M3" s="398"/>
      <c r="N3" s="398"/>
      <c r="O3" s="398"/>
      <c r="P3" s="39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478</v>
      </c>
      <c r="C4" s="7" t="s">
        <v>6</v>
      </c>
      <c r="D4" t="s">
        <v>7</v>
      </c>
      <c r="E4" s="6"/>
      <c r="F4"/>
      <c r="G4"/>
      <c r="I4" s="398"/>
      <c r="J4" s="398"/>
      <c r="K4" s="398"/>
      <c r="L4" s="398"/>
      <c r="M4" s="398"/>
      <c r="N4" s="398"/>
      <c r="O4" s="398"/>
      <c r="P4" s="398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9</v>
      </c>
      <c r="C5" s="7" t="s">
        <v>10</v>
      </c>
      <c r="D5" t="s">
        <v>11</v>
      </c>
      <c r="E5" s="6"/>
      <c r="F5"/>
      <c r="G5"/>
      <c r="I5" s="398"/>
      <c r="J5" s="398"/>
      <c r="K5" s="398"/>
      <c r="L5" s="398"/>
      <c r="M5" s="398"/>
      <c r="N5" s="398"/>
      <c r="O5" s="398"/>
      <c r="P5" s="398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12</v>
      </c>
      <c r="B6" s="8" t="s">
        <v>467</v>
      </c>
      <c r="C6"/>
      <c r="D6" s="1" t="s">
        <v>13</v>
      </c>
      <c r="E6" s="6" t="s">
        <v>476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14</v>
      </c>
      <c r="B7" s="9" t="s">
        <v>15</v>
      </c>
      <c r="C7"/>
      <c r="D7" s="1" t="s">
        <v>16</v>
      </c>
      <c r="E7" s="10" t="s">
        <v>468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17</v>
      </c>
      <c r="B8" s="12" t="s">
        <v>472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18</v>
      </c>
      <c r="B10" s="399" t="s">
        <v>440</v>
      </c>
      <c r="C10" s="400"/>
      <c r="D10" s="400"/>
      <c r="E10" s="401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19</v>
      </c>
      <c r="B12" s="17" t="s">
        <v>20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8"/>
      <c r="AH12" s="19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21</v>
      </c>
      <c r="B13" s="20" t="s">
        <v>473</v>
      </c>
      <c r="C13" s="1" t="s">
        <v>22</v>
      </c>
      <c r="D13"/>
      <c r="E13"/>
      <c r="F13"/>
      <c r="G13"/>
      <c r="H13" s="21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23</v>
      </c>
      <c r="B14" s="5" t="s">
        <v>24</v>
      </c>
      <c r="C14" s="7"/>
      <c r="D14"/>
      <c r="E14"/>
      <c r="F14"/>
      <c r="G14"/>
      <c r="H14" s="21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25</v>
      </c>
      <c r="B15" s="5" t="s">
        <v>26</v>
      </c>
      <c r="C15" s="22"/>
      <c r="D15"/>
      <c r="E15"/>
      <c r="F15"/>
      <c r="G15"/>
      <c r="H15" s="21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27</v>
      </c>
      <c r="B16" s="23" t="s">
        <v>479</v>
      </c>
      <c r="C16" s="22"/>
      <c r="D16" s="24" t="s">
        <v>28</v>
      </c>
      <c r="E16" s="25" t="str">
        <f>B13</f>
        <v>44.21 м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3" t="s">
        <v>480</v>
      </c>
      <c r="C17" s="22"/>
      <c r="D17" t="s">
        <v>29</v>
      </c>
      <c r="E17" s="20" t="str">
        <f>B13</f>
        <v>44.21 м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30</v>
      </c>
      <c r="B18" s="20" t="s">
        <v>481</v>
      </c>
      <c r="C18"/>
      <c r="D18" t="s">
        <v>31</v>
      </c>
      <c r="E18" s="5" t="s">
        <v>326</v>
      </c>
      <c r="F18"/>
      <c r="G18" s="2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</row>
    <row r="19" spans="1:76" ht="13.5" customHeight="1" thickBot="1" x14ac:dyDescent="0.25">
      <c r="A19" s="1" t="s">
        <v>32</v>
      </c>
      <c r="B19" s="20" t="str">
        <f>B16</f>
        <v>2520.00 м</v>
      </c>
      <c r="C19"/>
      <c r="D19" t="s">
        <v>33</v>
      </c>
      <c r="E19" s="27" t="s">
        <v>34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35</v>
      </c>
      <c r="B20" s="28">
        <v>44669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36</v>
      </c>
      <c r="B21" s="28">
        <v>44672</v>
      </c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37</v>
      </c>
      <c r="B22" s="29">
        <v>1</v>
      </c>
      <c r="C22" s="22"/>
      <c r="D22" s="30"/>
      <c r="E22" s="31"/>
      <c r="F22" s="31"/>
      <c r="G22" s="3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4" t="s">
        <v>35</v>
      </c>
      <c r="B23" s="32">
        <f>B20</f>
        <v>44669</v>
      </c>
      <c r="C23"/>
      <c r="D23" s="30"/>
      <c r="E23" s="31"/>
      <c r="F23" s="31"/>
      <c r="G23" s="31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 s="30"/>
      <c r="E24" s="30"/>
      <c r="F24" s="30"/>
      <c r="G24" s="30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402" t="s">
        <v>38</v>
      </c>
      <c r="B25" s="403"/>
      <c r="C25" s="404"/>
      <c r="D25" s="405" t="s">
        <v>39</v>
      </c>
      <c r="E25" s="406"/>
      <c r="F25" s="406"/>
      <c r="G25" s="407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33" t="s">
        <v>40</v>
      </c>
      <c r="B26" s="34" t="s">
        <v>41</v>
      </c>
      <c r="C26" s="35" t="s">
        <v>42</v>
      </c>
      <c r="D26" s="36" t="s">
        <v>43</v>
      </c>
      <c r="E26" s="34" t="s">
        <v>44</v>
      </c>
      <c r="F26" s="34" t="s">
        <v>41</v>
      </c>
      <c r="G26" s="35" t="s">
        <v>42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7" t="s">
        <v>482</v>
      </c>
      <c r="B27" s="38" t="s">
        <v>483</v>
      </c>
      <c r="C27" s="39" t="s">
        <v>485</v>
      </c>
      <c r="D27" s="40" t="s">
        <v>489</v>
      </c>
      <c r="E27" s="41" t="s">
        <v>326</v>
      </c>
      <c r="F27" s="41" t="s">
        <v>483</v>
      </c>
      <c r="G27" s="39" t="s">
        <v>490</v>
      </c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7" t="s">
        <v>460</v>
      </c>
      <c r="B28" s="38" t="s">
        <v>485</v>
      </c>
      <c r="C28" s="349" t="s">
        <v>486</v>
      </c>
      <c r="D28" s="42" t="s">
        <v>491</v>
      </c>
      <c r="E28" s="41" t="s">
        <v>326</v>
      </c>
      <c r="F28" s="41" t="s">
        <v>483</v>
      </c>
      <c r="G28" s="39" t="s">
        <v>492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43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7" t="s">
        <v>480</v>
      </c>
      <c r="B29" s="38" t="s">
        <v>486</v>
      </c>
      <c r="C29" s="349" t="s">
        <v>488</v>
      </c>
      <c r="D29" s="40"/>
      <c r="E29" s="41"/>
      <c r="F29" s="41"/>
      <c r="G29" s="39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7"/>
      <c r="B30" s="38"/>
      <c r="C30" s="39"/>
      <c r="D30" s="40"/>
      <c r="E30" s="41"/>
      <c r="F30" s="41"/>
      <c r="G30" s="39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7"/>
      <c r="B31" s="38"/>
      <c r="C31" s="39"/>
      <c r="D31" s="40"/>
      <c r="E31" s="41"/>
      <c r="F31" s="41"/>
      <c r="G31" s="39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7"/>
      <c r="B32" s="38"/>
      <c r="C32" s="39"/>
      <c r="D32" s="40"/>
      <c r="E32" s="41"/>
      <c r="F32" s="41"/>
      <c r="G32" s="39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43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7"/>
      <c r="B33" s="38"/>
      <c r="C33" s="39"/>
      <c r="D33" s="40"/>
      <c r="E33" s="41"/>
      <c r="F33" s="41"/>
      <c r="G33" s="39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7"/>
      <c r="B34" s="38"/>
      <c r="C34" s="39"/>
      <c r="D34" s="40"/>
      <c r="E34" s="41"/>
      <c r="F34" s="41"/>
      <c r="G34" s="39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44"/>
      <c r="B35" s="45"/>
      <c r="C35" s="46"/>
      <c r="D35" s="47"/>
      <c r="E35" s="47"/>
      <c r="F35" s="47"/>
      <c r="G35" s="4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408" t="s">
        <v>45</v>
      </c>
      <c r="B36" s="409"/>
      <c r="C36" s="410"/>
      <c r="D36" s="411" t="s">
        <v>46</v>
      </c>
      <c r="E36" s="412"/>
      <c r="F36" s="412"/>
      <c r="G36" s="41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9" t="s">
        <v>40</v>
      </c>
      <c r="B37" s="50" t="s">
        <v>47</v>
      </c>
      <c r="C37" s="51" t="s">
        <v>48</v>
      </c>
      <c r="D37" s="33" t="s">
        <v>49</v>
      </c>
      <c r="E37" s="34" t="s">
        <v>50</v>
      </c>
      <c r="F37" s="34" t="s">
        <v>41</v>
      </c>
      <c r="G37" s="35" t="s">
        <v>42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7" t="s">
        <v>482</v>
      </c>
      <c r="B38" s="41" t="s">
        <v>496</v>
      </c>
      <c r="C38" s="41" t="s">
        <v>493</v>
      </c>
      <c r="D38" s="52" t="s">
        <v>484</v>
      </c>
      <c r="E38" s="38">
        <v>1.1299999999999999</v>
      </c>
      <c r="F38" s="53" t="s">
        <v>483</v>
      </c>
      <c r="G38" s="54" t="s">
        <v>485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7" t="s">
        <v>460</v>
      </c>
      <c r="B39" s="41" t="s">
        <v>493</v>
      </c>
      <c r="C39" s="53" t="s">
        <v>494</v>
      </c>
      <c r="D39" s="52" t="s">
        <v>484</v>
      </c>
      <c r="E39" s="55">
        <v>1.24</v>
      </c>
      <c r="F39" s="53" t="s">
        <v>485</v>
      </c>
      <c r="G39" s="54" t="s">
        <v>487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7" t="s">
        <v>480</v>
      </c>
      <c r="B40" s="41" t="s">
        <v>497</v>
      </c>
      <c r="C40" s="53" t="s">
        <v>495</v>
      </c>
      <c r="D40" s="52" t="s">
        <v>484</v>
      </c>
      <c r="E40" s="56">
        <v>1.1200000000000001</v>
      </c>
      <c r="F40" s="53" t="s">
        <v>486</v>
      </c>
      <c r="G40" s="54" t="s">
        <v>488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7"/>
      <c r="B41" s="41"/>
      <c r="C41" s="53"/>
      <c r="D41" s="52"/>
      <c r="E41" s="56"/>
      <c r="F41" s="53"/>
      <c r="G41" s="5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7"/>
      <c r="B42" s="41"/>
      <c r="C42" s="53"/>
      <c r="D42" s="52"/>
      <c r="E42" s="56"/>
      <c r="F42" s="38"/>
      <c r="G42" s="39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7"/>
      <c r="F43" s="21"/>
      <c r="G43" s="58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D44" s="59"/>
      <c r="E44" s="57"/>
      <c r="F44" s="21"/>
      <c r="G44" s="58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D45" s="59"/>
      <c r="E45" s="57"/>
      <c r="F45" s="21"/>
      <c r="G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1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1:61" s="60" customFormat="1" x14ac:dyDescent="0.2">
      <c r="A50" s="1"/>
      <c r="B50" s="1"/>
      <c r="C50" s="1"/>
      <c r="D50" s="1"/>
      <c r="E50" s="1"/>
      <c r="F50" s="1"/>
      <c r="G50" s="1"/>
      <c r="H50" s="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1:61" s="60" customFormat="1" x14ac:dyDescent="0.2">
      <c r="A51" s="1"/>
      <c r="B51" s="1"/>
      <c r="C51" s="1"/>
      <c r="D51" s="1"/>
      <c r="E51" s="1"/>
      <c r="F51" s="1"/>
      <c r="G51" s="1"/>
      <c r="H51" s="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1:61" s="60" customFormat="1" x14ac:dyDescent="0.2">
      <c r="A52" s="1"/>
      <c r="B52" s="1"/>
      <c r="C52" s="1"/>
      <c r="D52" s="1"/>
      <c r="E52" s="1"/>
      <c r="F52" s="1"/>
      <c r="G52" s="1"/>
      <c r="H52" s="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1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1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1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1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1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1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1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1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1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1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1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1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88" t="s">
        <v>51</v>
      </c>
      <c r="B1" s="418"/>
      <c r="C1" s="418"/>
      <c r="D1" s="418" t="str">
        <f>IF('Header Info'!A40="","",'Header Info'!A40)</f>
        <v>155.6 мм</v>
      </c>
      <c r="E1" s="420" t="str">
        <f>IF('Header Info'!A39="","",'Header Info'!A39)</f>
        <v>220.7 мм</v>
      </c>
      <c r="F1" s="420" t="str">
        <f>IF('Header Info'!A38="","",'Header Info'!A38)</f>
        <v>295.3 мм</v>
      </c>
      <c r="G1" s="479" t="s">
        <v>52</v>
      </c>
      <c r="H1" s="414" t="s">
        <v>45</v>
      </c>
      <c r="I1" s="479" t="str">
        <f>IF('Header Info'!A31="","",'Header Info'!A31)</f>
        <v/>
      </c>
      <c r="J1" s="479" t="str">
        <f>IF('Header Info'!A30="","",'Header Info'!A30)</f>
        <v/>
      </c>
      <c r="K1" s="479" t="str">
        <f>IF('Header Info'!A29="","",'Header Info'!A29)</f>
        <v>155.6 мм</v>
      </c>
      <c r="L1" s="516" t="str">
        <f>IF('Header Info'!A28="","",'Header Info'!A28)</f>
        <v>220.7 мм</v>
      </c>
      <c r="M1" s="516" t="str">
        <f>IF('Header Info'!A27="","",'Header Info'!A27)</f>
        <v>295.3 мм</v>
      </c>
      <c r="N1" s="479" t="s">
        <v>52</v>
      </c>
      <c r="O1" s="414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16"/>
      <c r="B2" s="419"/>
      <c r="C2" s="419"/>
      <c r="D2" s="419"/>
      <c r="E2" s="419"/>
      <c r="F2" s="419"/>
      <c r="G2" s="479"/>
      <c r="H2" s="415"/>
      <c r="I2" s="479"/>
      <c r="J2" s="479"/>
      <c r="K2" s="479"/>
      <c r="L2" s="516"/>
      <c r="M2" s="516"/>
      <c r="N2" s="479"/>
      <c r="O2" s="415"/>
      <c r="P2" s="424" t="s">
        <v>53</v>
      </c>
      <c r="Q2" s="425"/>
      <c r="R2" s="495" t="s">
        <v>54</v>
      </c>
      <c r="S2" s="495"/>
      <c r="T2" s="517" t="s">
        <v>25</v>
      </c>
      <c r="U2" s="495"/>
      <c r="V2" s="495" t="s">
        <v>23</v>
      </c>
      <c r="W2" s="495"/>
      <c r="X2" s="495" t="s">
        <v>55</v>
      </c>
      <c r="Y2" s="496"/>
      <c r="Z2" s="489" t="s">
        <v>56</v>
      </c>
      <c r="AA2" s="489"/>
      <c r="AB2" s="489"/>
      <c r="AC2" s="489"/>
      <c r="AD2" s="489"/>
      <c r="AE2" s="489"/>
      <c r="AF2" s="497" t="str">
        <f>'Header Info'!B2</f>
        <v>АО "Мессояханефтегаз"</v>
      </c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8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16"/>
      <c r="B3" s="419"/>
      <c r="C3" s="419"/>
      <c r="D3" s="419"/>
      <c r="E3" s="419"/>
      <c r="F3" s="419"/>
      <c r="G3" s="479"/>
      <c r="H3" s="415"/>
      <c r="I3" s="479"/>
      <c r="J3" s="479"/>
      <c r="K3" s="479"/>
      <c r="L3" s="516"/>
      <c r="M3" s="516"/>
      <c r="N3" s="479"/>
      <c r="O3" s="415"/>
      <c r="P3" s="424"/>
      <c r="Q3" s="425"/>
      <c r="R3" s="495"/>
      <c r="S3" s="495"/>
      <c r="T3" s="517"/>
      <c r="U3" s="495"/>
      <c r="V3" s="495"/>
      <c r="W3" s="495"/>
      <c r="X3" s="495"/>
      <c r="Y3" s="496"/>
      <c r="Z3" s="489"/>
      <c r="AA3" s="489"/>
      <c r="AB3" s="489"/>
      <c r="AC3" s="489"/>
      <c r="AD3" s="489"/>
      <c r="AE3" s="48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500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16"/>
      <c r="B4" s="419"/>
      <c r="C4" s="419"/>
      <c r="D4" s="419"/>
      <c r="E4" s="419"/>
      <c r="F4" s="419"/>
      <c r="G4" s="479"/>
      <c r="H4" s="415"/>
      <c r="I4" s="479"/>
      <c r="J4" s="479"/>
      <c r="K4" s="479"/>
      <c r="L4" s="516"/>
      <c r="M4" s="516"/>
      <c r="N4" s="479"/>
      <c r="O4" s="415"/>
      <c r="P4" s="424"/>
      <c r="Q4" s="425"/>
      <c r="R4" s="495"/>
      <c r="S4" s="495"/>
      <c r="T4" s="517"/>
      <c r="U4" s="495"/>
      <c r="V4" s="495"/>
      <c r="W4" s="495"/>
      <c r="X4" s="495"/>
      <c r="Y4" s="496"/>
      <c r="Z4" s="489" t="s">
        <v>57</v>
      </c>
      <c r="AA4" s="501"/>
      <c r="AB4" s="501"/>
      <c r="AC4" s="501"/>
      <c r="AD4" s="501"/>
      <c r="AE4" s="501"/>
      <c r="AF4" s="502" t="str">
        <f>'Header Info'!B3</f>
        <v>4828st03#74 Горизонтальный ствол3</v>
      </c>
      <c r="AG4" s="502"/>
      <c r="AH4" s="502"/>
      <c r="AI4" s="502"/>
      <c r="AJ4" s="502"/>
      <c r="AK4" s="502"/>
      <c r="AL4" s="502"/>
      <c r="AM4" s="502"/>
      <c r="AN4" s="502"/>
      <c r="AO4" s="502"/>
      <c r="AP4" s="502"/>
      <c r="AQ4" s="502"/>
      <c r="AR4" s="502"/>
      <c r="AS4" s="502"/>
      <c r="AT4" s="50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16"/>
      <c r="B5" s="419"/>
      <c r="C5" s="419"/>
      <c r="D5" s="419"/>
      <c r="E5" s="419"/>
      <c r="F5" s="419"/>
      <c r="G5" s="479"/>
      <c r="H5" s="415"/>
      <c r="I5" s="479"/>
      <c r="J5" s="479"/>
      <c r="K5" s="479"/>
      <c r="L5" s="516"/>
      <c r="M5" s="516"/>
      <c r="N5" s="479"/>
      <c r="O5" s="415"/>
      <c r="P5" s="424"/>
      <c r="Q5" s="425"/>
      <c r="R5" s="495"/>
      <c r="S5" s="495"/>
      <c r="T5" s="517"/>
      <c r="U5" s="495"/>
      <c r="V5" s="495"/>
      <c r="W5" s="495"/>
      <c r="X5" s="495"/>
      <c r="Y5" s="496"/>
      <c r="Z5" s="501"/>
      <c r="AA5" s="501"/>
      <c r="AB5" s="501"/>
      <c r="AC5" s="501"/>
      <c r="AD5" s="501"/>
      <c r="AE5" s="501"/>
      <c r="AF5" s="504"/>
      <c r="AG5" s="504"/>
      <c r="AH5" s="504"/>
      <c r="AI5" s="504"/>
      <c r="AJ5" s="504"/>
      <c r="AK5" s="504"/>
      <c r="AL5" s="504"/>
      <c r="AM5" s="504"/>
      <c r="AN5" s="504"/>
      <c r="AO5" s="504"/>
      <c r="AP5" s="504"/>
      <c r="AQ5" s="504"/>
      <c r="AR5" s="504"/>
      <c r="AS5" s="504"/>
      <c r="AT5" s="50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16"/>
      <c r="B6" s="419"/>
      <c r="C6" s="419"/>
      <c r="D6" s="419"/>
      <c r="E6" s="419"/>
      <c r="F6" s="419"/>
      <c r="G6" s="479"/>
      <c r="H6" s="415"/>
      <c r="I6" s="479"/>
      <c r="J6" s="479"/>
      <c r="K6" s="479"/>
      <c r="L6" s="516"/>
      <c r="M6" s="516"/>
      <c r="N6" s="479"/>
      <c r="O6" s="415"/>
      <c r="P6" s="424"/>
      <c r="Q6" s="425"/>
      <c r="R6" s="495"/>
      <c r="S6" s="495"/>
      <c r="T6" s="517"/>
      <c r="U6" s="495"/>
      <c r="V6" s="495"/>
      <c r="W6" s="495"/>
      <c r="X6" s="495"/>
      <c r="Y6" s="496"/>
      <c r="Z6" s="489" t="s">
        <v>66</v>
      </c>
      <c r="AA6" s="489"/>
      <c r="AB6" s="489"/>
      <c r="AC6" s="489"/>
      <c r="AD6" s="489"/>
      <c r="AE6" s="489"/>
      <c r="AF6" s="497" t="str">
        <f>'Header Info'!B5</f>
        <v>Восточно-Мессояхское</v>
      </c>
      <c r="AG6" s="497"/>
      <c r="AH6" s="497"/>
      <c r="AI6" s="497"/>
      <c r="AJ6" s="497"/>
      <c r="AK6" s="497"/>
      <c r="AL6" s="497"/>
      <c r="AM6" s="497"/>
      <c r="AN6" s="497"/>
      <c r="AO6" s="497"/>
      <c r="AP6" s="497"/>
      <c r="AQ6" s="497"/>
      <c r="AR6" s="497"/>
      <c r="AS6" s="497"/>
      <c r="AT6" s="498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16"/>
      <c r="B7" s="419"/>
      <c r="C7" s="419"/>
      <c r="D7" s="419"/>
      <c r="E7" s="419"/>
      <c r="F7" s="419"/>
      <c r="G7" s="479"/>
      <c r="H7" s="415"/>
      <c r="I7" s="479"/>
      <c r="J7" s="479"/>
      <c r="K7" s="479"/>
      <c r="L7" s="516"/>
      <c r="M7" s="516"/>
      <c r="N7" s="479"/>
      <c r="O7" s="415"/>
      <c r="P7" s="424"/>
      <c r="Q7" s="425"/>
      <c r="R7" s="495"/>
      <c r="S7" s="495"/>
      <c r="T7" s="517"/>
      <c r="U7" s="495"/>
      <c r="V7" s="495"/>
      <c r="W7" s="495"/>
      <c r="X7" s="495"/>
      <c r="Y7" s="496"/>
      <c r="Z7" s="489"/>
      <c r="AA7" s="489"/>
      <c r="AB7" s="489"/>
      <c r="AC7" s="489"/>
      <c r="AD7" s="489"/>
      <c r="AE7" s="489"/>
      <c r="AF7" s="499"/>
      <c r="AG7" s="499"/>
      <c r="AH7" s="499"/>
      <c r="AI7" s="499"/>
      <c r="AJ7" s="499"/>
      <c r="AK7" s="499"/>
      <c r="AL7" s="499"/>
      <c r="AM7" s="499"/>
      <c r="AN7" s="499"/>
      <c r="AO7" s="499"/>
      <c r="AP7" s="499"/>
      <c r="AQ7" s="499"/>
      <c r="AR7" s="499"/>
      <c r="AS7" s="499"/>
      <c r="AT7" s="500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16"/>
      <c r="B8" s="419"/>
      <c r="C8" s="419"/>
      <c r="D8" s="419"/>
      <c r="E8" s="419"/>
      <c r="F8" s="419"/>
      <c r="G8" s="479"/>
      <c r="H8" s="415"/>
      <c r="I8" s="479"/>
      <c r="J8" s="479"/>
      <c r="K8" s="479"/>
      <c r="L8" s="516"/>
      <c r="M8" s="516"/>
      <c r="N8" s="479"/>
      <c r="O8" s="415"/>
      <c r="P8" s="424"/>
      <c r="Q8" s="425"/>
      <c r="R8" s="495"/>
      <c r="S8" s="495"/>
      <c r="T8" s="517"/>
      <c r="U8" s="495"/>
      <c r="V8" s="495"/>
      <c r="W8" s="495"/>
      <c r="X8" s="495"/>
      <c r="Y8" s="496"/>
      <c r="Z8" s="489" t="s">
        <v>59</v>
      </c>
      <c r="AA8" s="489"/>
      <c r="AB8" s="489"/>
      <c r="AC8" s="489"/>
      <c r="AD8" s="489"/>
      <c r="AE8" s="489"/>
      <c r="AF8" s="497" t="str">
        <f>'Header Info'!B6</f>
        <v>БУ-3200</v>
      </c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8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16"/>
      <c r="B9" s="419"/>
      <c r="C9" s="419"/>
      <c r="D9" s="419"/>
      <c r="E9" s="419"/>
      <c r="F9" s="419"/>
      <c r="G9" s="479"/>
      <c r="H9" s="415"/>
      <c r="I9" s="479"/>
      <c r="J9" s="479"/>
      <c r="K9" s="479"/>
      <c r="L9" s="516"/>
      <c r="M9" s="516"/>
      <c r="N9" s="479"/>
      <c r="O9" s="415"/>
      <c r="P9" s="424"/>
      <c r="Q9" s="425"/>
      <c r="R9" s="495"/>
      <c r="S9" s="495"/>
      <c r="T9" s="517"/>
      <c r="U9" s="495"/>
      <c r="V9" s="495"/>
      <c r="W9" s="495"/>
      <c r="X9" s="495"/>
      <c r="Y9" s="496"/>
      <c r="Z9" s="489"/>
      <c r="AA9" s="489"/>
      <c r="AB9" s="489"/>
      <c r="AC9" s="489"/>
      <c r="AD9" s="489"/>
      <c r="AE9" s="48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500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16"/>
      <c r="B10" s="414" t="str">
        <f>IF('Header Info'!B42="","",'Header Info'!B42)</f>
        <v/>
      </c>
      <c r="C10" s="414" t="str">
        <f>IF('Header Info'!B41="","",'Header Info'!B41)</f>
        <v/>
      </c>
      <c r="D10" s="414" t="str">
        <f>IF('Header Info'!B40="","",'Header Info'!B40)</f>
        <v>84.7°</v>
      </c>
      <c r="E10" s="414" t="str">
        <f>IF('Header Info'!B39="","",'Header Info'!B39)</f>
        <v>10.7°</v>
      </c>
      <c r="F10" s="414" t="str">
        <f>IF('Header Info'!B38="","",'Header Info'!B38)</f>
        <v>0.5°</v>
      </c>
      <c r="G10" s="487" t="s">
        <v>60</v>
      </c>
      <c r="H10" s="415"/>
      <c r="I10" s="479" t="str">
        <f>IF('Header Info'!B31="","",'Header Info'!B31)</f>
        <v/>
      </c>
      <c r="J10" s="479" t="str">
        <f>IF('Header Info'!B30="","",'Header Info'!B30)</f>
        <v/>
      </c>
      <c r="K10" s="479" t="str">
        <f>IF('Header Info'!B29="","",'Header Info'!B29)</f>
        <v>1144.0 м</v>
      </c>
      <c r="L10" s="479" t="str">
        <f>IF('Header Info'!B28="","",'Header Info'!B28)</f>
        <v>452.7 м</v>
      </c>
      <c r="M10" s="479" t="str">
        <f>IF('Header Info'!B27="","",'Header Info'!B27)</f>
        <v>0.0 м</v>
      </c>
      <c r="N10" s="487" t="s">
        <v>41</v>
      </c>
      <c r="O10" s="415"/>
      <c r="P10" s="424"/>
      <c r="Q10" s="425"/>
      <c r="R10" s="495"/>
      <c r="S10" s="495"/>
      <c r="T10" s="517"/>
      <c r="U10" s="495"/>
      <c r="V10" s="495"/>
      <c r="W10" s="495"/>
      <c r="X10" s="495"/>
      <c r="Y10" s="496"/>
      <c r="Z10" s="489" t="s">
        <v>61</v>
      </c>
      <c r="AA10" s="489"/>
      <c r="AB10" s="489"/>
      <c r="AC10" s="489"/>
      <c r="AD10" s="489"/>
      <c r="AE10" s="489"/>
      <c r="AF10" s="490" t="str">
        <f>'Header Info'!B7</f>
        <v>Россия</v>
      </c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1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16"/>
      <c r="B11" s="419"/>
      <c r="C11" s="419"/>
      <c r="D11" s="419"/>
      <c r="E11" s="419"/>
      <c r="F11" s="419"/>
      <c r="G11" s="487"/>
      <c r="H11" s="415"/>
      <c r="I11" s="479"/>
      <c r="J11" s="479"/>
      <c r="K11" s="479"/>
      <c r="L11" s="479"/>
      <c r="M11" s="479"/>
      <c r="N11" s="487"/>
      <c r="O11" s="415"/>
      <c r="P11" s="426">
        <f>'Header Info'!B20</f>
        <v>44669</v>
      </c>
      <c r="Q11" s="427"/>
      <c r="R11" s="494" t="str">
        <f>'Header Info'!B18</f>
        <v>1460.00 м</v>
      </c>
      <c r="S11" s="494"/>
      <c r="T11" s="517"/>
      <c r="U11" s="495"/>
      <c r="V11" s="495"/>
      <c r="W11" s="495"/>
      <c r="X11" s="495"/>
      <c r="Y11" s="496"/>
      <c r="Z11" s="489"/>
      <c r="AA11" s="489"/>
      <c r="AB11" s="489"/>
      <c r="AC11" s="489"/>
      <c r="AD11" s="489"/>
      <c r="AE11" s="489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3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16"/>
      <c r="B12" s="419"/>
      <c r="C12" s="419"/>
      <c r="D12" s="419"/>
      <c r="E12" s="419"/>
      <c r="F12" s="419"/>
      <c r="G12" s="487"/>
      <c r="H12" s="415"/>
      <c r="I12" s="479"/>
      <c r="J12" s="479"/>
      <c r="K12" s="479"/>
      <c r="L12" s="479"/>
      <c r="M12" s="479"/>
      <c r="N12" s="487"/>
      <c r="O12" s="415"/>
      <c r="P12" s="426"/>
      <c r="Q12" s="427"/>
      <c r="R12" s="494"/>
      <c r="S12" s="494"/>
      <c r="T12" s="517"/>
      <c r="U12" s="495"/>
      <c r="V12" s="495"/>
      <c r="W12" s="495"/>
      <c r="X12" s="495"/>
      <c r="Y12" s="496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16"/>
      <c r="B13" s="419"/>
      <c r="C13" s="419"/>
      <c r="D13" s="419"/>
      <c r="E13" s="419"/>
      <c r="F13" s="419"/>
      <c r="G13" s="487"/>
      <c r="H13" s="415"/>
      <c r="I13" s="479"/>
      <c r="J13" s="479"/>
      <c r="K13" s="479"/>
      <c r="L13" s="479"/>
      <c r="M13" s="479"/>
      <c r="N13" s="487"/>
      <c r="O13" s="415"/>
      <c r="P13" s="426"/>
      <c r="Q13" s="427"/>
      <c r="R13" s="494"/>
      <c r="S13" s="494"/>
      <c r="T13" s="517"/>
      <c r="U13" s="495"/>
      <c r="V13" s="495"/>
      <c r="W13" s="495"/>
      <c r="X13" s="495"/>
      <c r="Y13" s="496"/>
      <c r="Z13" s="447" t="s">
        <v>62</v>
      </c>
      <c r="AA13" s="448"/>
      <c r="AB13" s="448"/>
      <c r="AC13" s="448"/>
      <c r="AD13" s="448"/>
      <c r="AE13" s="448"/>
      <c r="AF13" s="449"/>
      <c r="AG13" s="61"/>
      <c r="AH13" s="480" t="s">
        <v>63</v>
      </c>
      <c r="AI13" s="480"/>
      <c r="AJ13" s="480" t="s">
        <v>64</v>
      </c>
      <c r="AK13" s="480"/>
      <c r="AL13" s="480" t="s">
        <v>65</v>
      </c>
      <c r="AM13" s="480"/>
      <c r="AN13" s="480" t="s">
        <v>66</v>
      </c>
      <c r="AO13" s="480"/>
      <c r="AP13" s="480" t="s">
        <v>67</v>
      </c>
      <c r="AQ13" s="480"/>
      <c r="AR13" s="480" t="s">
        <v>68</v>
      </c>
      <c r="AS13" s="48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16"/>
      <c r="B14" s="419"/>
      <c r="C14" s="419"/>
      <c r="D14" s="419"/>
      <c r="E14" s="419"/>
      <c r="F14" s="419"/>
      <c r="G14" s="487"/>
      <c r="H14" s="415"/>
      <c r="I14" s="479"/>
      <c r="J14" s="479"/>
      <c r="K14" s="479"/>
      <c r="L14" s="479"/>
      <c r="M14" s="479"/>
      <c r="N14" s="487"/>
      <c r="O14" s="415"/>
      <c r="P14" s="426"/>
      <c r="Q14" s="427"/>
      <c r="R14" s="494"/>
      <c r="S14" s="494"/>
      <c r="T14" s="517"/>
      <c r="U14" s="495"/>
      <c r="V14" s="495"/>
      <c r="W14" s="495"/>
      <c r="X14" s="495"/>
      <c r="Y14" s="496"/>
      <c r="Z14" s="450"/>
      <c r="AA14" s="451"/>
      <c r="AB14" s="451"/>
      <c r="AC14" s="451"/>
      <c r="AD14" s="451"/>
      <c r="AE14" s="451"/>
      <c r="AF14" s="452"/>
      <c r="AG14" s="65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81" t="s">
        <v>69</v>
      </c>
      <c r="B15" s="419"/>
      <c r="C15" s="419"/>
      <c r="D15" s="419"/>
      <c r="E15" s="419"/>
      <c r="F15" s="419"/>
      <c r="G15" s="487"/>
      <c r="H15" s="415"/>
      <c r="I15" s="479"/>
      <c r="J15" s="479"/>
      <c r="K15" s="479"/>
      <c r="L15" s="479"/>
      <c r="M15" s="479"/>
      <c r="N15" s="487"/>
      <c r="O15" s="415"/>
      <c r="P15" s="426"/>
      <c r="Q15" s="427"/>
      <c r="R15" s="494"/>
      <c r="S15" s="494"/>
      <c r="T15" s="424" t="str">
        <f>'Header Info'!B15</f>
        <v>длина буровой трубы</v>
      </c>
      <c r="U15" s="425"/>
      <c r="V15" s="425" t="str">
        <f>'Header Info'!B14</f>
        <v>пол буровой</v>
      </c>
      <c r="W15" s="425"/>
      <c r="X15" s="425" t="str">
        <f>'Header Info'!B12</f>
        <v>средний уровень моря</v>
      </c>
      <c r="Y15" s="454"/>
      <c r="Z15" s="82"/>
      <c r="AA15" s="83"/>
      <c r="AB15" s="84"/>
      <c r="AC15" s="66"/>
      <c r="AD15" s="85"/>
      <c r="AE15" s="66"/>
      <c r="AF15" s="86"/>
      <c r="AG15" s="65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82"/>
      <c r="B16" s="419"/>
      <c r="C16" s="419"/>
      <c r="D16" s="419"/>
      <c r="E16" s="419"/>
      <c r="F16" s="419"/>
      <c r="G16" s="487"/>
      <c r="H16" s="415"/>
      <c r="I16" s="479"/>
      <c r="J16" s="479"/>
      <c r="K16" s="479"/>
      <c r="L16" s="479"/>
      <c r="M16" s="479"/>
      <c r="N16" s="487"/>
      <c r="O16" s="415"/>
      <c r="P16" s="426"/>
      <c r="Q16" s="427"/>
      <c r="R16" s="494"/>
      <c r="S16" s="494"/>
      <c r="T16" s="424"/>
      <c r="U16" s="425"/>
      <c r="V16" s="425"/>
      <c r="W16" s="425"/>
      <c r="X16" s="425"/>
      <c r="Y16" s="454"/>
      <c r="Z16" s="424" t="s">
        <v>70</v>
      </c>
      <c r="AA16" s="425"/>
      <c r="AB16" s="484"/>
      <c r="AC16" s="453" t="s">
        <v>4</v>
      </c>
      <c r="AD16" s="425"/>
      <c r="AE16" s="425" t="s">
        <v>2</v>
      </c>
      <c r="AF16" s="454"/>
      <c r="AG16" s="65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82"/>
      <c r="B17" s="419"/>
      <c r="C17" s="419"/>
      <c r="D17" s="419"/>
      <c r="E17" s="419"/>
      <c r="F17" s="419"/>
      <c r="G17" s="487"/>
      <c r="H17" s="415"/>
      <c r="I17" s="479"/>
      <c r="J17" s="479"/>
      <c r="K17" s="479"/>
      <c r="L17" s="479"/>
      <c r="M17" s="479"/>
      <c r="N17" s="487"/>
      <c r="O17" s="415"/>
      <c r="P17" s="426"/>
      <c r="Q17" s="427"/>
      <c r="R17" s="494"/>
      <c r="S17" s="494"/>
      <c r="T17" s="424"/>
      <c r="U17" s="425"/>
      <c r="V17" s="425"/>
      <c r="W17" s="425"/>
      <c r="X17" s="425"/>
      <c r="Y17" s="454"/>
      <c r="Z17" s="424"/>
      <c r="AA17" s="425"/>
      <c r="AB17" s="484"/>
      <c r="AC17" s="453"/>
      <c r="AD17" s="425"/>
      <c r="AE17" s="425"/>
      <c r="AF17" s="454"/>
      <c r="AG17" s="65"/>
      <c r="AH17" s="480"/>
      <c r="AI17" s="480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82"/>
      <c r="B18" s="419"/>
      <c r="C18" s="419"/>
      <c r="D18" s="419"/>
      <c r="E18" s="419"/>
      <c r="F18" s="419"/>
      <c r="G18" s="487"/>
      <c r="H18" s="415"/>
      <c r="I18" s="479"/>
      <c r="J18" s="479"/>
      <c r="K18" s="479"/>
      <c r="L18" s="479"/>
      <c r="M18" s="479"/>
      <c r="N18" s="487"/>
      <c r="O18" s="415"/>
      <c r="P18" s="485" t="s">
        <v>71</v>
      </c>
      <c r="Q18" s="486"/>
      <c r="R18" s="486" t="s">
        <v>71</v>
      </c>
      <c r="S18" s="486"/>
      <c r="T18" s="424"/>
      <c r="U18" s="425"/>
      <c r="V18" s="425"/>
      <c r="W18" s="425"/>
      <c r="X18" s="425"/>
      <c r="Y18" s="454"/>
      <c r="Z18" s="424"/>
      <c r="AA18" s="425"/>
      <c r="AB18" s="484"/>
      <c r="AC18" s="453"/>
      <c r="AD18" s="425"/>
      <c r="AE18" s="425"/>
      <c r="AF18" s="454"/>
      <c r="AG18" s="65"/>
      <c r="AH18" s="480"/>
      <c r="AI18" s="480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82"/>
      <c r="B19" s="414" t="str">
        <f>IF('Header Info'!C42="","",'Header Info'!C42)</f>
        <v/>
      </c>
      <c r="C19" s="414" t="str">
        <f>IF('Header Info'!C41="","",'Header Info'!C41)</f>
        <v/>
      </c>
      <c r="D19" s="414" t="str">
        <f>IF('Header Info'!C40="","",'Header Info'!C40)</f>
        <v>91.1°</v>
      </c>
      <c r="E19" s="432" t="str">
        <f>IF('Header Info'!C39="","",'Header Info'!C39)</f>
        <v>84.0°</v>
      </c>
      <c r="F19" s="432" t="str">
        <f>IF('Header Info'!C38="","",'Header Info'!C38)</f>
        <v>10.7°</v>
      </c>
      <c r="G19" s="479" t="s">
        <v>72</v>
      </c>
      <c r="H19" s="415"/>
      <c r="I19" s="414" t="str">
        <f>IF('Header Info'!C31="","",'Header Info'!C31)</f>
        <v/>
      </c>
      <c r="J19" s="414" t="str">
        <f>IF('Header Info'!C30="","",'Header Info'!C30)</f>
        <v/>
      </c>
      <c r="K19" s="479" t="str">
        <f>IF('Header Info'!C29="","",'Header Info'!C29)</f>
        <v>2520.0 м</v>
      </c>
      <c r="L19" s="479" t="str">
        <f>IF('Header Info'!C28="","",'Header Info'!C28)</f>
        <v>1144.0 м</v>
      </c>
      <c r="M19" s="479" t="str">
        <f>IF('Header Info'!C27="","",'Header Info'!C27)</f>
        <v>452.7 м</v>
      </c>
      <c r="N19" s="479" t="s">
        <v>42</v>
      </c>
      <c r="O19" s="415"/>
      <c r="P19" s="485"/>
      <c r="Q19" s="486"/>
      <c r="R19" s="486"/>
      <c r="S19" s="486"/>
      <c r="T19" s="424"/>
      <c r="U19" s="425"/>
      <c r="V19" s="425"/>
      <c r="W19" s="425"/>
      <c r="X19" s="425"/>
      <c r="Y19" s="454"/>
      <c r="Z19" s="424"/>
      <c r="AA19" s="425"/>
      <c r="AB19" s="484"/>
      <c r="AC19" s="453"/>
      <c r="AD19" s="425"/>
      <c r="AE19" s="425"/>
      <c r="AF19" s="454"/>
      <c r="AG19" s="65"/>
      <c r="AH19" s="480"/>
      <c r="AI19" s="480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82"/>
      <c r="B20" s="419"/>
      <c r="C20" s="419"/>
      <c r="D20" s="419"/>
      <c r="E20" s="419"/>
      <c r="F20" s="419"/>
      <c r="G20" s="479"/>
      <c r="H20" s="415"/>
      <c r="I20" s="419"/>
      <c r="J20" s="419"/>
      <c r="K20" s="479"/>
      <c r="L20" s="479"/>
      <c r="M20" s="479"/>
      <c r="N20" s="479"/>
      <c r="O20" s="415"/>
      <c r="P20" s="426">
        <f>'Header Info'!B21</f>
        <v>44672</v>
      </c>
      <c r="Q20" s="427"/>
      <c r="R20" s="457" t="str">
        <f>'Header Info'!B19</f>
        <v>2520.00 м</v>
      </c>
      <c r="S20" s="457"/>
      <c r="T20" s="424"/>
      <c r="U20" s="425"/>
      <c r="V20" s="425"/>
      <c r="W20" s="425"/>
      <c r="X20" s="425"/>
      <c r="Y20" s="454"/>
      <c r="Z20" s="424"/>
      <c r="AA20" s="425"/>
      <c r="AB20" s="484"/>
      <c r="AC20" s="453"/>
      <c r="AD20" s="425"/>
      <c r="AE20" s="425"/>
      <c r="AF20" s="454"/>
      <c r="AG20" s="65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82"/>
      <c r="B21" s="419"/>
      <c r="C21" s="419"/>
      <c r="D21" s="419"/>
      <c r="E21" s="419"/>
      <c r="F21" s="419"/>
      <c r="G21" s="479"/>
      <c r="H21" s="415"/>
      <c r="I21" s="419"/>
      <c r="J21" s="419"/>
      <c r="K21" s="479"/>
      <c r="L21" s="479"/>
      <c r="M21" s="479"/>
      <c r="N21" s="479"/>
      <c r="O21" s="415"/>
      <c r="P21" s="426"/>
      <c r="Q21" s="427"/>
      <c r="R21" s="457"/>
      <c r="S21" s="457"/>
      <c r="T21" s="424"/>
      <c r="U21" s="425"/>
      <c r="V21" s="425"/>
      <c r="W21" s="425"/>
      <c r="X21" s="425"/>
      <c r="Y21" s="454"/>
      <c r="Z21" s="424"/>
      <c r="AA21" s="425"/>
      <c r="AB21" s="484"/>
      <c r="AC21" s="453"/>
      <c r="AD21" s="425"/>
      <c r="AE21" s="425"/>
      <c r="AF21" s="454"/>
      <c r="AG21" s="65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82"/>
      <c r="B22" s="419"/>
      <c r="C22" s="419"/>
      <c r="D22" s="419"/>
      <c r="E22" s="419"/>
      <c r="F22" s="419"/>
      <c r="G22" s="479"/>
      <c r="H22" s="415"/>
      <c r="I22" s="419"/>
      <c r="J22" s="419"/>
      <c r="K22" s="479"/>
      <c r="L22" s="479"/>
      <c r="M22" s="479"/>
      <c r="N22" s="479"/>
      <c r="O22" s="415"/>
      <c r="P22" s="426"/>
      <c r="Q22" s="427"/>
      <c r="R22" s="457"/>
      <c r="S22" s="457"/>
      <c r="T22" s="424"/>
      <c r="U22" s="425"/>
      <c r="V22" s="425"/>
      <c r="W22" s="425"/>
      <c r="X22" s="425"/>
      <c r="Y22" s="454"/>
      <c r="Z22" s="424"/>
      <c r="AA22" s="425"/>
      <c r="AB22" s="484"/>
      <c r="AC22" s="453"/>
      <c r="AD22" s="425"/>
      <c r="AE22" s="425"/>
      <c r="AF22" s="454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82"/>
      <c r="B23" s="419"/>
      <c r="C23" s="419"/>
      <c r="D23" s="419"/>
      <c r="E23" s="419"/>
      <c r="F23" s="419"/>
      <c r="G23" s="479"/>
      <c r="H23" s="415"/>
      <c r="I23" s="419"/>
      <c r="J23" s="419"/>
      <c r="K23" s="479"/>
      <c r="L23" s="479"/>
      <c r="M23" s="479"/>
      <c r="N23" s="479"/>
      <c r="O23" s="415"/>
      <c r="P23" s="426"/>
      <c r="Q23" s="427"/>
      <c r="R23" s="457"/>
      <c r="S23" s="457"/>
      <c r="T23" s="424"/>
      <c r="U23" s="425"/>
      <c r="V23" s="509" t="s">
        <v>73</v>
      </c>
      <c r="W23" s="509"/>
      <c r="X23" s="425"/>
      <c r="Y23" s="454"/>
      <c r="Z23" s="510" t="str">
        <f>'Header Info'!B10</f>
        <v>ННБ, Гамма, Сопротивление, Плотность, Пористость, Кавернометрия.</v>
      </c>
      <c r="AA23" s="511"/>
      <c r="AB23" s="512"/>
      <c r="AC23" s="461" t="str">
        <f>'Header Info'!E3</f>
        <v>79° 49' 45.665" В</v>
      </c>
      <c r="AD23" s="462"/>
      <c r="AE23" s="462" t="str">
        <f>'Header Info'!E2</f>
        <v>68° 31' 46.245" С</v>
      </c>
      <c r="AF23" s="463"/>
      <c r="AG23" s="65"/>
      <c r="AH23" s="444" t="str">
        <f>'Header Info'!B8</f>
        <v>W9220112</v>
      </c>
      <c r="AI23" s="445"/>
      <c r="AJ23" s="444" t="str">
        <f>'Header Info'!B7</f>
        <v>Россия</v>
      </c>
      <c r="AK23" s="445"/>
      <c r="AL23" s="444" t="str">
        <f>'Header Info'!B6</f>
        <v>БУ-3200</v>
      </c>
      <c r="AM23" s="446"/>
      <c r="AN23" s="444" t="str">
        <f>'Header Info'!B5</f>
        <v>Восточно-Мессояхское</v>
      </c>
      <c r="AO23" s="446"/>
      <c r="AP23" s="444" t="str">
        <f>'Header Info'!B3</f>
        <v>4828st03#74 Горизонтальный ствол3</v>
      </c>
      <c r="AQ23" s="446"/>
      <c r="AR23" s="444" t="str">
        <f>'Header Info'!B2</f>
        <v>АО "Мессояханефтегаз"</v>
      </c>
      <c r="AS23" s="445"/>
      <c r="AT23" s="80"/>
      <c r="AU23" s="65"/>
      <c r="AV23" s="66"/>
      <c r="AW23" s="434" t="s">
        <v>74</v>
      </c>
      <c r="AX23" s="434" t="s">
        <v>431</v>
      </c>
      <c r="AY23" s="434" t="s">
        <v>75</v>
      </c>
      <c r="AZ23" s="434" t="str">
        <f>CONCATENATE("Секция ",'Header Info'!B17," ",'Header Info'!B4)</f>
        <v>Секция 155.6 мм Горизонтальный ствол3</v>
      </c>
      <c r="BA23" s="435" t="s">
        <v>76</v>
      </c>
      <c r="BB23" s="67"/>
      <c r="BF23" s="66"/>
    </row>
    <row r="24" spans="1:58" s="64" customFormat="1" ht="7.5" customHeight="1" x14ac:dyDescent="0.2">
      <c r="A24" s="482"/>
      <c r="B24" s="419"/>
      <c r="C24" s="419"/>
      <c r="D24" s="419"/>
      <c r="E24" s="419"/>
      <c r="F24" s="419"/>
      <c r="G24" s="479"/>
      <c r="H24" s="415"/>
      <c r="I24" s="419"/>
      <c r="J24" s="419"/>
      <c r="K24" s="479"/>
      <c r="L24" s="479"/>
      <c r="M24" s="479"/>
      <c r="N24" s="479"/>
      <c r="O24" s="415"/>
      <c r="P24" s="426"/>
      <c r="Q24" s="427"/>
      <c r="R24" s="457"/>
      <c r="S24" s="457"/>
      <c r="T24" s="424"/>
      <c r="U24" s="425"/>
      <c r="V24" s="509"/>
      <c r="W24" s="509"/>
      <c r="X24" s="425"/>
      <c r="Y24" s="454"/>
      <c r="Z24" s="510"/>
      <c r="AA24" s="511"/>
      <c r="AB24" s="512"/>
      <c r="AC24" s="461"/>
      <c r="AD24" s="462"/>
      <c r="AE24" s="462"/>
      <c r="AF24" s="463"/>
      <c r="AG24" s="65"/>
      <c r="AH24" s="444"/>
      <c r="AI24" s="445"/>
      <c r="AJ24" s="444"/>
      <c r="AK24" s="445"/>
      <c r="AL24" s="444"/>
      <c r="AM24" s="446"/>
      <c r="AN24" s="444"/>
      <c r="AO24" s="446"/>
      <c r="AP24" s="444"/>
      <c r="AQ24" s="446"/>
      <c r="AR24" s="444"/>
      <c r="AS24" s="445"/>
      <c r="AT24" s="80"/>
      <c r="AU24" s="65"/>
      <c r="AV24" s="66"/>
      <c r="AW24" s="434"/>
      <c r="AX24" s="434"/>
      <c r="AY24" s="434"/>
      <c r="AZ24" s="434"/>
      <c r="BA24" s="435"/>
      <c r="BB24" s="67"/>
      <c r="BF24" s="66"/>
    </row>
    <row r="25" spans="1:58" s="64" customFormat="1" ht="7.5" customHeight="1" x14ac:dyDescent="0.2">
      <c r="A25" s="482"/>
      <c r="B25" s="419"/>
      <c r="C25" s="419"/>
      <c r="D25" s="419"/>
      <c r="E25" s="419"/>
      <c r="F25" s="419"/>
      <c r="G25" s="479"/>
      <c r="H25" s="415"/>
      <c r="I25" s="419"/>
      <c r="J25" s="419"/>
      <c r="K25" s="479"/>
      <c r="L25" s="479"/>
      <c r="M25" s="479"/>
      <c r="N25" s="479"/>
      <c r="O25" s="415"/>
      <c r="P25" s="426"/>
      <c r="Q25" s="427"/>
      <c r="R25" s="457"/>
      <c r="S25" s="457"/>
      <c r="T25" s="424"/>
      <c r="U25" s="425"/>
      <c r="V25" s="509"/>
      <c r="W25" s="509"/>
      <c r="X25" s="425"/>
      <c r="Y25" s="454"/>
      <c r="Z25" s="510"/>
      <c r="AA25" s="511"/>
      <c r="AB25" s="512"/>
      <c r="AC25" s="461"/>
      <c r="AD25" s="462"/>
      <c r="AE25" s="462"/>
      <c r="AF25" s="463"/>
      <c r="AG25" s="65"/>
      <c r="AH25" s="444"/>
      <c r="AI25" s="445"/>
      <c r="AJ25" s="444"/>
      <c r="AK25" s="445"/>
      <c r="AL25" s="444"/>
      <c r="AM25" s="446"/>
      <c r="AN25" s="444"/>
      <c r="AO25" s="446"/>
      <c r="AP25" s="444"/>
      <c r="AQ25" s="446"/>
      <c r="AR25" s="444"/>
      <c r="AS25" s="445"/>
      <c r="AT25" s="88"/>
      <c r="AU25" s="65"/>
      <c r="AV25" s="66"/>
      <c r="AW25" s="434"/>
      <c r="AX25" s="434"/>
      <c r="AY25" s="434"/>
      <c r="AZ25" s="434"/>
      <c r="BA25" s="435"/>
      <c r="BB25" s="67"/>
      <c r="BF25" s="66"/>
    </row>
    <row r="26" spans="1:58" s="64" customFormat="1" ht="7.5" customHeight="1" x14ac:dyDescent="0.2">
      <c r="A26" s="482"/>
      <c r="B26" s="419"/>
      <c r="C26" s="419"/>
      <c r="D26" s="419"/>
      <c r="E26" s="419"/>
      <c r="F26" s="419"/>
      <c r="G26" s="479"/>
      <c r="H26" s="415"/>
      <c r="I26" s="419"/>
      <c r="J26" s="419"/>
      <c r="K26" s="479"/>
      <c r="L26" s="479"/>
      <c r="M26" s="479"/>
      <c r="N26" s="479"/>
      <c r="O26" s="415"/>
      <c r="P26" s="426"/>
      <c r="Q26" s="427"/>
      <c r="R26" s="457"/>
      <c r="S26" s="457"/>
      <c r="T26" s="424"/>
      <c r="U26" s="425"/>
      <c r="V26" s="509"/>
      <c r="W26" s="509"/>
      <c r="X26" s="425"/>
      <c r="Y26" s="454"/>
      <c r="Z26" s="510"/>
      <c r="AA26" s="511"/>
      <c r="AB26" s="512"/>
      <c r="AC26" s="461"/>
      <c r="AD26" s="462"/>
      <c r="AE26" s="462"/>
      <c r="AF26" s="463"/>
      <c r="AG26" s="65"/>
      <c r="AH26" s="444"/>
      <c r="AI26" s="445"/>
      <c r="AJ26" s="444"/>
      <c r="AK26" s="445"/>
      <c r="AL26" s="444"/>
      <c r="AM26" s="446"/>
      <c r="AN26" s="444"/>
      <c r="AO26" s="446"/>
      <c r="AP26" s="444"/>
      <c r="AQ26" s="446"/>
      <c r="AR26" s="444"/>
      <c r="AS26" s="445"/>
      <c r="AT26" s="66"/>
      <c r="AU26" s="65"/>
      <c r="AV26" s="66"/>
      <c r="AW26" s="434"/>
      <c r="AX26" s="434"/>
      <c r="AY26" s="434"/>
      <c r="AZ26" s="434"/>
      <c r="BA26" s="435"/>
      <c r="BB26" s="67"/>
      <c r="BF26" s="66"/>
    </row>
    <row r="27" spans="1:58" s="64" customFormat="1" ht="7.5" customHeight="1" x14ac:dyDescent="0.2">
      <c r="A27" s="483"/>
      <c r="B27" s="419"/>
      <c r="C27" s="419"/>
      <c r="D27" s="419"/>
      <c r="E27" s="419"/>
      <c r="F27" s="419"/>
      <c r="G27" s="479"/>
      <c r="H27" s="415"/>
      <c r="I27" s="419"/>
      <c r="J27" s="419"/>
      <c r="K27" s="479"/>
      <c r="L27" s="479"/>
      <c r="M27" s="479"/>
      <c r="N27" s="479"/>
      <c r="O27" s="415"/>
      <c r="P27" s="506"/>
      <c r="Q27" s="507"/>
      <c r="R27" s="508"/>
      <c r="S27" s="508"/>
      <c r="T27" s="424"/>
      <c r="U27" s="425"/>
      <c r="V27" s="425" t="str">
        <f>'Header Info'!B13</f>
        <v>44.21 м</v>
      </c>
      <c r="W27" s="425"/>
      <c r="X27" s="425"/>
      <c r="Y27" s="454"/>
      <c r="Z27" s="510"/>
      <c r="AA27" s="511"/>
      <c r="AB27" s="512"/>
      <c r="AC27" s="461"/>
      <c r="AD27" s="462"/>
      <c r="AE27" s="462"/>
      <c r="AF27" s="463"/>
      <c r="AG27" s="65"/>
      <c r="AH27" s="444"/>
      <c r="AI27" s="445"/>
      <c r="AJ27" s="444"/>
      <c r="AK27" s="445"/>
      <c r="AL27" s="444"/>
      <c r="AM27" s="446"/>
      <c r="AN27" s="444"/>
      <c r="AO27" s="446"/>
      <c r="AP27" s="444"/>
      <c r="AQ27" s="446"/>
      <c r="AR27" s="444"/>
      <c r="AS27" s="445"/>
      <c r="AT27" s="66"/>
      <c r="AU27" s="65"/>
      <c r="AV27" s="66"/>
      <c r="AW27" s="434"/>
      <c r="AX27" s="434"/>
      <c r="AY27" s="434"/>
      <c r="AZ27" s="434"/>
      <c r="BA27" s="435"/>
      <c r="BB27" s="67"/>
      <c r="BF27" s="66"/>
    </row>
    <row r="28" spans="1:58" s="64" customFormat="1" ht="7.5" customHeight="1" x14ac:dyDescent="0.2">
      <c r="A28" s="421" t="s">
        <v>77</v>
      </c>
      <c r="B28" s="423" t="str">
        <f>IF('Header Info'!D42="","",'Header Info'!D42)</f>
        <v/>
      </c>
      <c r="C28" s="423" t="str">
        <f>IF('Header Info'!D41="","",'Header Info'!D41)</f>
        <v/>
      </c>
      <c r="D28" s="423" t="str">
        <f>IF('Header Info'!D40="","",'Header Info'!D40)</f>
        <v>Биополимерный KCL</v>
      </c>
      <c r="E28" s="423" t="str">
        <f>IF('Header Info'!D39="","",'Header Info'!D39)</f>
        <v>Биополимерный KCL</v>
      </c>
      <c r="F28" s="423" t="str">
        <f>IF('Header Info'!D38="","",'Header Info'!D38)</f>
        <v>Биополимерный KCL</v>
      </c>
      <c r="G28" s="414" t="s">
        <v>49</v>
      </c>
      <c r="H28" s="414" t="s">
        <v>46</v>
      </c>
      <c r="I28" s="423" t="str">
        <f>IF('Header Info'!D31="","",'Header Info'!D31)</f>
        <v/>
      </c>
      <c r="J28" s="431" t="str">
        <f>IF('Header Info'!D30="","",'Header Info'!D30)</f>
        <v/>
      </c>
      <c r="K28" s="431" t="str">
        <f>IF('Header Info'!D29="","",'Header Info'!D29)</f>
        <v/>
      </c>
      <c r="L28" s="431" t="str">
        <f>IF('Header Info'!D28="","",'Header Info'!D28)</f>
        <v>178.0 мм</v>
      </c>
      <c r="M28" s="431" t="str">
        <f>IF('Header Info'!D27="","",'Header Info'!D27)</f>
        <v>245.0 мм</v>
      </c>
      <c r="N28" s="414" t="s">
        <v>43</v>
      </c>
      <c r="O28" s="414" t="s">
        <v>39</v>
      </c>
      <c r="P28" s="89"/>
      <c r="Q28" s="90"/>
      <c r="R28" s="395"/>
      <c r="S28" s="395"/>
      <c r="T28" s="424"/>
      <c r="U28" s="425"/>
      <c r="V28" s="425"/>
      <c r="W28" s="425"/>
      <c r="X28" s="425"/>
      <c r="Y28" s="454"/>
      <c r="Z28" s="510"/>
      <c r="AA28" s="511"/>
      <c r="AB28" s="512"/>
      <c r="AC28" s="461"/>
      <c r="AD28" s="462"/>
      <c r="AE28" s="462"/>
      <c r="AF28" s="463"/>
      <c r="AG28" s="65"/>
      <c r="AH28" s="444"/>
      <c r="AI28" s="445"/>
      <c r="AJ28" s="444"/>
      <c r="AK28" s="445"/>
      <c r="AL28" s="444"/>
      <c r="AM28" s="446"/>
      <c r="AN28" s="444"/>
      <c r="AO28" s="446"/>
      <c r="AP28" s="444"/>
      <c r="AQ28" s="446"/>
      <c r="AR28" s="444"/>
      <c r="AS28" s="445"/>
      <c r="AT28" s="66"/>
      <c r="AU28" s="65"/>
      <c r="AV28" s="66"/>
      <c r="AW28" s="434"/>
      <c r="AX28" s="434"/>
      <c r="AY28" s="434"/>
      <c r="AZ28" s="434"/>
      <c r="BA28" s="435"/>
      <c r="BB28" s="67"/>
      <c r="BF28" s="66"/>
    </row>
    <row r="29" spans="1:58" s="64" customFormat="1" ht="7.5" customHeight="1" x14ac:dyDescent="0.2">
      <c r="A29" s="422"/>
      <c r="B29" s="419"/>
      <c r="C29" s="419"/>
      <c r="D29" s="419"/>
      <c r="E29" s="419"/>
      <c r="F29" s="419"/>
      <c r="G29" s="415"/>
      <c r="H29" s="415"/>
      <c r="I29" s="423"/>
      <c r="J29" s="415"/>
      <c r="K29" s="415"/>
      <c r="L29" s="415"/>
      <c r="M29" s="415"/>
      <c r="N29" s="415"/>
      <c r="O29" s="415"/>
      <c r="P29" s="424" t="s">
        <v>78</v>
      </c>
      <c r="Q29" s="425"/>
      <c r="R29" s="425" t="s">
        <v>37</v>
      </c>
      <c r="S29" s="425"/>
      <c r="T29" s="424" t="s">
        <v>79</v>
      </c>
      <c r="U29" s="425"/>
      <c r="V29" s="425"/>
      <c r="W29" s="425"/>
      <c r="X29" s="425"/>
      <c r="Y29" s="454"/>
      <c r="Z29" s="510"/>
      <c r="AA29" s="511"/>
      <c r="AB29" s="512"/>
      <c r="AC29" s="461"/>
      <c r="AD29" s="462"/>
      <c r="AE29" s="462"/>
      <c r="AF29" s="463"/>
      <c r="AG29" s="65"/>
      <c r="AH29" s="444"/>
      <c r="AI29" s="445"/>
      <c r="AJ29" s="444"/>
      <c r="AK29" s="445"/>
      <c r="AL29" s="444"/>
      <c r="AM29" s="446"/>
      <c r="AN29" s="444"/>
      <c r="AO29" s="446"/>
      <c r="AP29" s="444"/>
      <c r="AQ29" s="446"/>
      <c r="AR29" s="444"/>
      <c r="AS29" s="445"/>
      <c r="AT29" s="66"/>
      <c r="AU29" s="65"/>
      <c r="AV29" s="66"/>
      <c r="AW29" s="434"/>
      <c r="AX29" s="434"/>
      <c r="AY29" s="434"/>
      <c r="AZ29" s="434"/>
      <c r="BA29" s="435"/>
      <c r="BB29" s="67"/>
    </row>
    <row r="30" spans="1:58" s="64" customFormat="1" ht="7.5" customHeight="1" x14ac:dyDescent="0.2">
      <c r="A30" s="422"/>
      <c r="B30" s="419"/>
      <c r="C30" s="419"/>
      <c r="D30" s="419"/>
      <c r="E30" s="419"/>
      <c r="F30" s="419"/>
      <c r="G30" s="415"/>
      <c r="H30" s="415"/>
      <c r="I30" s="423"/>
      <c r="J30" s="415"/>
      <c r="K30" s="415"/>
      <c r="L30" s="415"/>
      <c r="M30" s="415"/>
      <c r="N30" s="415"/>
      <c r="O30" s="415"/>
      <c r="P30" s="424"/>
      <c r="Q30" s="425"/>
      <c r="R30" s="425"/>
      <c r="S30" s="425"/>
      <c r="T30" s="424"/>
      <c r="U30" s="425"/>
      <c r="V30" s="425"/>
      <c r="W30" s="425"/>
      <c r="X30" s="425"/>
      <c r="Y30" s="454"/>
      <c r="Z30" s="510"/>
      <c r="AA30" s="511"/>
      <c r="AB30" s="512"/>
      <c r="AC30" s="461"/>
      <c r="AD30" s="462"/>
      <c r="AE30" s="462"/>
      <c r="AF30" s="463"/>
      <c r="AG30" s="65"/>
      <c r="AH30" s="444"/>
      <c r="AI30" s="445"/>
      <c r="AJ30" s="444"/>
      <c r="AK30" s="445"/>
      <c r="AL30" s="444"/>
      <c r="AM30" s="446"/>
      <c r="AN30" s="444"/>
      <c r="AO30" s="446"/>
      <c r="AP30" s="444"/>
      <c r="AQ30" s="446"/>
      <c r="AR30" s="444"/>
      <c r="AS30" s="445"/>
      <c r="AT30" s="66"/>
      <c r="AU30" s="65"/>
      <c r="AV30" s="66"/>
      <c r="AW30" s="434"/>
      <c r="AX30" s="434"/>
      <c r="AY30" s="434"/>
      <c r="AZ30" s="434"/>
      <c r="BA30" s="435"/>
      <c r="BB30" s="67"/>
    </row>
    <row r="31" spans="1:58" s="64" customFormat="1" ht="7.5" customHeight="1" x14ac:dyDescent="0.2">
      <c r="A31" s="422"/>
      <c r="B31" s="419"/>
      <c r="C31" s="419"/>
      <c r="D31" s="419"/>
      <c r="E31" s="419"/>
      <c r="F31" s="419"/>
      <c r="G31" s="415"/>
      <c r="H31" s="415"/>
      <c r="I31" s="423"/>
      <c r="J31" s="415"/>
      <c r="K31" s="415"/>
      <c r="L31" s="415"/>
      <c r="M31" s="415"/>
      <c r="N31" s="415"/>
      <c r="O31" s="415"/>
      <c r="P31" s="424"/>
      <c r="Q31" s="425"/>
      <c r="R31" s="425"/>
      <c r="S31" s="425"/>
      <c r="T31" s="424"/>
      <c r="U31" s="425"/>
      <c r="V31" s="425"/>
      <c r="W31" s="425"/>
      <c r="X31" s="425"/>
      <c r="Y31" s="454"/>
      <c r="Z31" s="510"/>
      <c r="AA31" s="511"/>
      <c r="AB31" s="512"/>
      <c r="AC31" s="461"/>
      <c r="AD31" s="462"/>
      <c r="AE31" s="462"/>
      <c r="AF31" s="463"/>
      <c r="AG31" s="65"/>
      <c r="AH31" s="444"/>
      <c r="AI31" s="445"/>
      <c r="AJ31" s="444"/>
      <c r="AK31" s="445"/>
      <c r="AL31" s="444"/>
      <c r="AM31" s="446"/>
      <c r="AN31" s="444"/>
      <c r="AO31" s="446"/>
      <c r="AP31" s="444"/>
      <c r="AQ31" s="446"/>
      <c r="AR31" s="444"/>
      <c r="AS31" s="445"/>
      <c r="AT31" s="66"/>
      <c r="AU31" s="65"/>
      <c r="AV31" s="66"/>
      <c r="AW31" s="434"/>
      <c r="AX31" s="434"/>
      <c r="AY31" s="434"/>
      <c r="AZ31" s="434"/>
      <c r="BA31" s="435"/>
      <c r="BB31" s="67"/>
    </row>
    <row r="32" spans="1:58" s="64" customFormat="1" ht="7.5" customHeight="1" x14ac:dyDescent="0.2">
      <c r="A32" s="422"/>
      <c r="B32" s="419"/>
      <c r="C32" s="419"/>
      <c r="D32" s="419"/>
      <c r="E32" s="419"/>
      <c r="F32" s="419"/>
      <c r="G32" s="415"/>
      <c r="H32" s="415"/>
      <c r="I32" s="423"/>
      <c r="J32" s="415"/>
      <c r="K32" s="415"/>
      <c r="L32" s="415"/>
      <c r="M32" s="415"/>
      <c r="N32" s="415"/>
      <c r="O32" s="415"/>
      <c r="P32" s="424"/>
      <c r="Q32" s="425"/>
      <c r="R32" s="425"/>
      <c r="S32" s="425"/>
      <c r="T32" s="424"/>
      <c r="U32" s="425"/>
      <c r="V32" s="425"/>
      <c r="W32" s="425"/>
      <c r="X32" s="425"/>
      <c r="Y32" s="454"/>
      <c r="Z32" s="510"/>
      <c r="AA32" s="511"/>
      <c r="AB32" s="512"/>
      <c r="AC32" s="461"/>
      <c r="AD32" s="462"/>
      <c r="AE32" s="462"/>
      <c r="AF32" s="463"/>
      <c r="AG32" s="65"/>
      <c r="AH32" s="444"/>
      <c r="AI32" s="445"/>
      <c r="AJ32" s="444"/>
      <c r="AK32" s="445"/>
      <c r="AL32" s="444"/>
      <c r="AM32" s="446"/>
      <c r="AN32" s="444"/>
      <c r="AO32" s="446"/>
      <c r="AP32" s="444"/>
      <c r="AQ32" s="446"/>
      <c r="AR32" s="444"/>
      <c r="AS32" s="445"/>
      <c r="AT32" s="66"/>
      <c r="AU32" s="65"/>
      <c r="AV32" s="66"/>
      <c r="AW32" s="434"/>
      <c r="AX32" s="434"/>
      <c r="AY32" s="434"/>
      <c r="AZ32" s="434"/>
      <c r="BA32" s="435"/>
      <c r="BB32" s="67"/>
    </row>
    <row r="33" spans="1:56" s="64" customFormat="1" ht="7.5" customHeight="1" x14ac:dyDescent="0.2">
      <c r="A33" s="422"/>
      <c r="B33" s="419"/>
      <c r="C33" s="419"/>
      <c r="D33" s="419"/>
      <c r="E33" s="419"/>
      <c r="F33" s="419"/>
      <c r="G33" s="415"/>
      <c r="H33" s="415"/>
      <c r="I33" s="423"/>
      <c r="J33" s="415"/>
      <c r="K33" s="415"/>
      <c r="L33" s="415"/>
      <c r="M33" s="415"/>
      <c r="N33" s="415"/>
      <c r="O33" s="415"/>
      <c r="P33" s="424"/>
      <c r="Q33" s="425"/>
      <c r="R33" s="425"/>
      <c r="S33" s="425"/>
      <c r="T33" s="424"/>
      <c r="U33" s="425"/>
      <c r="V33" s="425" t="s">
        <v>22</v>
      </c>
      <c r="W33" s="425"/>
      <c r="X33" s="92"/>
      <c r="Y33" s="93"/>
      <c r="Z33" s="510"/>
      <c r="AA33" s="511"/>
      <c r="AB33" s="512"/>
      <c r="AC33" s="436" t="s">
        <v>80</v>
      </c>
      <c r="AD33" s="437"/>
      <c r="AE33" s="437" t="s">
        <v>81</v>
      </c>
      <c r="AF33" s="438"/>
      <c r="AG33" s="65"/>
      <c r="AH33" s="444"/>
      <c r="AI33" s="445"/>
      <c r="AJ33" s="444"/>
      <c r="AK33" s="445"/>
      <c r="AL33" s="444"/>
      <c r="AM33" s="446"/>
      <c r="AN33" s="444"/>
      <c r="AO33" s="446"/>
      <c r="AP33" s="444"/>
      <c r="AQ33" s="446"/>
      <c r="AR33" s="444"/>
      <c r="AS33" s="445"/>
      <c r="AT33" s="66"/>
      <c r="AU33" s="65"/>
      <c r="AV33" s="66"/>
      <c r="AW33" s="434"/>
      <c r="AX33" s="434"/>
      <c r="AY33" s="434"/>
      <c r="AZ33" s="434"/>
      <c r="BA33" s="435"/>
      <c r="BB33" s="67"/>
    </row>
    <row r="34" spans="1:56" s="64" customFormat="1" ht="7.5" customHeight="1" x14ac:dyDescent="0.2">
      <c r="A34" s="422"/>
      <c r="B34" s="419"/>
      <c r="C34" s="419"/>
      <c r="D34" s="419"/>
      <c r="E34" s="419"/>
      <c r="F34" s="419"/>
      <c r="G34" s="415"/>
      <c r="H34" s="415"/>
      <c r="I34" s="423"/>
      <c r="J34" s="415"/>
      <c r="K34" s="415"/>
      <c r="L34" s="415"/>
      <c r="M34" s="415"/>
      <c r="N34" s="415"/>
      <c r="O34" s="415"/>
      <c r="P34" s="424"/>
      <c r="Q34" s="425"/>
      <c r="R34" s="425"/>
      <c r="S34" s="425"/>
      <c r="T34" s="424"/>
      <c r="U34" s="425"/>
      <c r="V34" s="425"/>
      <c r="W34" s="425"/>
      <c r="X34" s="92"/>
      <c r="Y34" s="93"/>
      <c r="Z34" s="510"/>
      <c r="AA34" s="511"/>
      <c r="AB34" s="512"/>
      <c r="AC34" s="436"/>
      <c r="AD34" s="437"/>
      <c r="AE34" s="437"/>
      <c r="AF34" s="438"/>
      <c r="AG34" s="65"/>
      <c r="AH34" s="444"/>
      <c r="AI34" s="445"/>
      <c r="AJ34" s="444"/>
      <c r="AK34" s="445"/>
      <c r="AL34" s="444"/>
      <c r="AM34" s="446"/>
      <c r="AN34" s="444"/>
      <c r="AO34" s="446"/>
      <c r="AP34" s="444"/>
      <c r="AQ34" s="446"/>
      <c r="AR34" s="444"/>
      <c r="AS34" s="445"/>
      <c r="AT34" s="66"/>
      <c r="AU34" s="65"/>
      <c r="AV34" s="66"/>
      <c r="AW34" s="434"/>
      <c r="AX34" s="434"/>
      <c r="AY34" s="434"/>
      <c r="AZ34" s="434"/>
      <c r="BA34" s="435"/>
      <c r="BB34" s="67"/>
    </row>
    <row r="35" spans="1:56" s="64" customFormat="1" ht="7.5" customHeight="1" x14ac:dyDescent="0.2">
      <c r="A35" s="422"/>
      <c r="B35" s="419"/>
      <c r="C35" s="419"/>
      <c r="D35" s="419"/>
      <c r="E35" s="419"/>
      <c r="F35" s="419"/>
      <c r="G35" s="415"/>
      <c r="H35" s="415"/>
      <c r="I35" s="423"/>
      <c r="J35" s="415"/>
      <c r="K35" s="415"/>
      <c r="L35" s="415"/>
      <c r="M35" s="415"/>
      <c r="N35" s="415"/>
      <c r="O35" s="415"/>
      <c r="P35" s="424"/>
      <c r="Q35" s="425"/>
      <c r="R35" s="425"/>
      <c r="S35" s="425"/>
      <c r="T35" s="424"/>
      <c r="U35" s="425"/>
      <c r="V35" s="425"/>
      <c r="W35" s="425"/>
      <c r="X35" s="66"/>
      <c r="Y35" s="67"/>
      <c r="Z35" s="510"/>
      <c r="AA35" s="511"/>
      <c r="AB35" s="512"/>
      <c r="AC35" s="439">
        <f>'Header Info'!E4</f>
        <v>0</v>
      </c>
      <c r="AD35" s="440"/>
      <c r="AE35" s="464">
        <f>'Header Info'!E5</f>
        <v>0</v>
      </c>
      <c r="AF35" s="465"/>
      <c r="AG35" s="65"/>
      <c r="AH35" s="444"/>
      <c r="AI35" s="445"/>
      <c r="AJ35" s="444"/>
      <c r="AK35" s="445"/>
      <c r="AL35" s="444"/>
      <c r="AM35" s="446"/>
      <c r="AN35" s="444"/>
      <c r="AO35" s="446"/>
      <c r="AP35" s="444"/>
      <c r="AQ35" s="446"/>
      <c r="AR35" s="444"/>
      <c r="AS35" s="445"/>
      <c r="AT35" s="66"/>
      <c r="AU35" s="65"/>
      <c r="AV35" s="66"/>
      <c r="AW35" s="434"/>
      <c r="AX35" s="434"/>
      <c r="AY35" s="434"/>
      <c r="AZ35" s="434"/>
      <c r="BA35" s="435"/>
      <c r="BB35" s="67"/>
    </row>
    <row r="36" spans="1:56" s="64" customFormat="1" ht="7.5" customHeight="1" x14ac:dyDescent="0.2">
      <c r="A36" s="422"/>
      <c r="B36" s="432" t="str">
        <f>IF('Header Info'!E42="","",'Header Info'!E42)</f>
        <v/>
      </c>
      <c r="C36" s="432" t="str">
        <f>IF('Header Info'!E41="","",'Header Info'!E41)</f>
        <v/>
      </c>
      <c r="D36" s="432">
        <f>IF('Header Info'!E40="","",'Header Info'!E40)</f>
        <v>1.1200000000000001</v>
      </c>
      <c r="E36" s="432">
        <f>IF('Header Info'!E39="","",'Header Info'!E39)</f>
        <v>1.24</v>
      </c>
      <c r="F36" s="432">
        <f>IF('Header Info'!E38="","",'Header Info'!E38)</f>
        <v>1.1299999999999999</v>
      </c>
      <c r="G36" s="414" t="s">
        <v>82</v>
      </c>
      <c r="H36" s="415"/>
      <c r="I36" s="414" t="str">
        <f>IF('Header Info'!E31="","",'Header Info'!E31)</f>
        <v/>
      </c>
      <c r="J36" s="414" t="str">
        <f>IF('Header Info'!E30="","",'Header Info'!E30)</f>
        <v/>
      </c>
      <c r="K36" s="414" t="str">
        <f>IF('Header Info'!E29="","",'Header Info'!E29)</f>
        <v/>
      </c>
      <c r="L36" s="414" t="str">
        <f>IF('Header Info'!E28="","",'Header Info'!E28)</f>
        <v>-</v>
      </c>
      <c r="M36" s="414" t="str">
        <f>IF('Header Info'!E27="","",'Header Info'!E27)</f>
        <v>-</v>
      </c>
      <c r="N36" s="414" t="s">
        <v>44</v>
      </c>
      <c r="O36" s="415"/>
      <c r="P36" s="424"/>
      <c r="Q36" s="425"/>
      <c r="R36" s="425"/>
      <c r="S36" s="425"/>
      <c r="T36" s="424"/>
      <c r="U36" s="425"/>
      <c r="V36" s="425"/>
      <c r="W36" s="425"/>
      <c r="X36" s="66"/>
      <c r="Y36" s="67"/>
      <c r="Z36" s="510"/>
      <c r="AA36" s="511"/>
      <c r="AB36" s="512"/>
      <c r="AC36" s="441"/>
      <c r="AD36" s="440"/>
      <c r="AE36" s="440"/>
      <c r="AF36" s="465"/>
      <c r="AG36" s="65"/>
      <c r="AH36" s="444"/>
      <c r="AI36" s="445"/>
      <c r="AJ36" s="444"/>
      <c r="AK36" s="445"/>
      <c r="AL36" s="444"/>
      <c r="AM36" s="446"/>
      <c r="AN36" s="444"/>
      <c r="AO36" s="446"/>
      <c r="AP36" s="444"/>
      <c r="AQ36" s="446"/>
      <c r="AR36" s="444"/>
      <c r="AS36" s="445"/>
      <c r="AT36" s="66"/>
      <c r="AU36" s="65"/>
      <c r="AV36" s="66"/>
      <c r="AW36" s="434"/>
      <c r="AX36" s="434"/>
      <c r="AY36" s="434"/>
      <c r="AZ36" s="434"/>
      <c r="BA36" s="435"/>
      <c r="BB36" s="67"/>
    </row>
    <row r="37" spans="1:56" s="64" customFormat="1" ht="7.5" customHeight="1" x14ac:dyDescent="0.2">
      <c r="A37" s="422"/>
      <c r="B37" s="433"/>
      <c r="C37" s="433"/>
      <c r="D37" s="433"/>
      <c r="E37" s="433"/>
      <c r="F37" s="433"/>
      <c r="G37" s="414"/>
      <c r="H37" s="415"/>
      <c r="I37" s="414"/>
      <c r="J37" s="414"/>
      <c r="K37" s="414"/>
      <c r="L37" s="414"/>
      <c r="M37" s="414"/>
      <c r="N37" s="414"/>
      <c r="O37" s="415"/>
      <c r="P37" s="426">
        <f>'Header Info'!B23</f>
        <v>44669</v>
      </c>
      <c r="Q37" s="427"/>
      <c r="R37" s="430">
        <f>'Header Info'!B22</f>
        <v>1</v>
      </c>
      <c r="S37" s="430"/>
      <c r="T37" s="467" t="str">
        <f>'Header Info'!B16</f>
        <v>2520.00 м</v>
      </c>
      <c r="U37" s="457"/>
      <c r="V37" s="425"/>
      <c r="W37" s="425"/>
      <c r="X37" s="82"/>
      <c r="Y37" s="94"/>
      <c r="Z37" s="510"/>
      <c r="AA37" s="511"/>
      <c r="AB37" s="512"/>
      <c r="AC37" s="441"/>
      <c r="AD37" s="440"/>
      <c r="AE37" s="440"/>
      <c r="AF37" s="465"/>
      <c r="AG37" s="65"/>
      <c r="AH37" s="444"/>
      <c r="AI37" s="445"/>
      <c r="AJ37" s="444"/>
      <c r="AK37" s="445"/>
      <c r="AL37" s="444"/>
      <c r="AM37" s="446"/>
      <c r="AN37" s="444"/>
      <c r="AO37" s="446"/>
      <c r="AP37" s="444"/>
      <c r="AQ37" s="446"/>
      <c r="AR37" s="444"/>
      <c r="AS37" s="445"/>
      <c r="AT37" s="66"/>
      <c r="AU37" s="65"/>
      <c r="AV37" s="66"/>
      <c r="AW37" s="434"/>
      <c r="AX37" s="434"/>
      <c r="AY37" s="434"/>
      <c r="AZ37" s="434"/>
      <c r="BA37" s="435"/>
      <c r="BB37" s="67"/>
    </row>
    <row r="38" spans="1:56" s="64" customFormat="1" ht="7.5" customHeight="1" x14ac:dyDescent="0.2">
      <c r="A38" s="422"/>
      <c r="B38" s="433"/>
      <c r="C38" s="433"/>
      <c r="D38" s="433"/>
      <c r="E38" s="433"/>
      <c r="F38" s="433"/>
      <c r="G38" s="414"/>
      <c r="H38" s="415"/>
      <c r="I38" s="414"/>
      <c r="J38" s="414"/>
      <c r="K38" s="414"/>
      <c r="L38" s="414"/>
      <c r="M38" s="414"/>
      <c r="N38" s="414"/>
      <c r="O38" s="415"/>
      <c r="P38" s="426"/>
      <c r="Q38" s="427"/>
      <c r="R38" s="430"/>
      <c r="S38" s="430"/>
      <c r="T38" s="467"/>
      <c r="U38" s="457"/>
      <c r="V38" s="425"/>
      <c r="W38" s="425"/>
      <c r="X38" s="82"/>
      <c r="Y38" s="94"/>
      <c r="Z38" s="510"/>
      <c r="AA38" s="511"/>
      <c r="AB38" s="512"/>
      <c r="AC38" s="441"/>
      <c r="AD38" s="440"/>
      <c r="AE38" s="440"/>
      <c r="AF38" s="465"/>
      <c r="AG38" s="65"/>
      <c r="AH38" s="444"/>
      <c r="AI38" s="445"/>
      <c r="AJ38" s="444"/>
      <c r="AK38" s="445"/>
      <c r="AL38" s="444"/>
      <c r="AM38" s="446"/>
      <c r="AN38" s="444"/>
      <c r="AO38" s="446"/>
      <c r="AP38" s="444"/>
      <c r="AQ38" s="446"/>
      <c r="AR38" s="444"/>
      <c r="AS38" s="445"/>
      <c r="AT38" s="66"/>
      <c r="AU38" s="65"/>
      <c r="AV38" s="66"/>
      <c r="AW38" s="434"/>
      <c r="AX38" s="434"/>
      <c r="AY38" s="434"/>
      <c r="AZ38" s="434"/>
      <c r="BA38" s="435"/>
      <c r="BB38" s="67"/>
    </row>
    <row r="39" spans="1:56" s="64" customFormat="1" ht="7.5" customHeight="1" x14ac:dyDescent="0.2">
      <c r="A39" s="422"/>
      <c r="B39" s="433"/>
      <c r="C39" s="433"/>
      <c r="D39" s="433"/>
      <c r="E39" s="433"/>
      <c r="F39" s="433"/>
      <c r="G39" s="414"/>
      <c r="H39" s="415"/>
      <c r="I39" s="414"/>
      <c r="J39" s="414"/>
      <c r="K39" s="414"/>
      <c r="L39" s="414"/>
      <c r="M39" s="414"/>
      <c r="N39" s="414"/>
      <c r="O39" s="415"/>
      <c r="P39" s="426"/>
      <c r="Q39" s="427"/>
      <c r="R39" s="430"/>
      <c r="S39" s="430"/>
      <c r="T39" s="467"/>
      <c r="U39" s="457"/>
      <c r="V39" s="425"/>
      <c r="W39" s="425"/>
      <c r="X39" s="66"/>
      <c r="Y39" s="67"/>
      <c r="Z39" s="510"/>
      <c r="AA39" s="511"/>
      <c r="AB39" s="512"/>
      <c r="AC39" s="441"/>
      <c r="AD39" s="440"/>
      <c r="AE39" s="440"/>
      <c r="AF39" s="465"/>
      <c r="AG39" s="65"/>
      <c r="AH39" s="444"/>
      <c r="AI39" s="445"/>
      <c r="AJ39" s="444"/>
      <c r="AK39" s="445"/>
      <c r="AL39" s="444"/>
      <c r="AM39" s="446"/>
      <c r="AN39" s="444"/>
      <c r="AO39" s="446"/>
      <c r="AP39" s="444"/>
      <c r="AQ39" s="446"/>
      <c r="AR39" s="444"/>
      <c r="AS39" s="445"/>
      <c r="AT39" s="66"/>
      <c r="AU39" s="65"/>
      <c r="AV39" s="66"/>
      <c r="AW39" s="434"/>
      <c r="AX39" s="434"/>
      <c r="AY39" s="434"/>
      <c r="AZ39" s="434"/>
      <c r="BA39" s="435"/>
      <c r="BB39" s="67"/>
    </row>
    <row r="40" spans="1:56" s="64" customFormat="1" ht="7.5" customHeight="1" x14ac:dyDescent="0.2">
      <c r="A40" s="422"/>
      <c r="B40" s="433"/>
      <c r="C40" s="433"/>
      <c r="D40" s="433"/>
      <c r="E40" s="433"/>
      <c r="F40" s="433"/>
      <c r="G40" s="414"/>
      <c r="H40" s="415"/>
      <c r="I40" s="414"/>
      <c r="J40" s="414"/>
      <c r="K40" s="414"/>
      <c r="L40" s="414"/>
      <c r="M40" s="414"/>
      <c r="N40" s="414"/>
      <c r="O40" s="415"/>
      <c r="P40" s="426"/>
      <c r="Q40" s="427"/>
      <c r="R40" s="430"/>
      <c r="S40" s="430"/>
      <c r="T40" s="467"/>
      <c r="U40" s="457"/>
      <c r="V40" s="425"/>
      <c r="W40" s="425"/>
      <c r="X40" s="66"/>
      <c r="Y40" s="67"/>
      <c r="Z40" s="510"/>
      <c r="AA40" s="511"/>
      <c r="AB40" s="512"/>
      <c r="AC40" s="441"/>
      <c r="AD40" s="440"/>
      <c r="AE40" s="440"/>
      <c r="AF40" s="465"/>
      <c r="AG40" s="65"/>
      <c r="AH40" s="444"/>
      <c r="AI40" s="445"/>
      <c r="AJ40" s="444"/>
      <c r="AK40" s="445"/>
      <c r="AL40" s="444"/>
      <c r="AM40" s="446"/>
      <c r="AN40" s="444"/>
      <c r="AO40" s="446"/>
      <c r="AP40" s="444"/>
      <c r="AQ40" s="446"/>
      <c r="AR40" s="444"/>
      <c r="AS40" s="445"/>
      <c r="AT40" s="66"/>
      <c r="AU40" s="65"/>
      <c r="AV40" s="66"/>
      <c r="AW40" s="434"/>
      <c r="AX40" s="434"/>
      <c r="AY40" s="434"/>
      <c r="AZ40" s="434"/>
      <c r="BA40" s="435"/>
      <c r="BB40" s="67"/>
    </row>
    <row r="41" spans="1:56" s="64" customFormat="1" ht="7.5" customHeight="1" x14ac:dyDescent="0.2">
      <c r="A41" s="422"/>
      <c r="B41" s="433"/>
      <c r="C41" s="433"/>
      <c r="D41" s="433"/>
      <c r="E41" s="433"/>
      <c r="F41" s="433"/>
      <c r="G41" s="414"/>
      <c r="H41" s="415"/>
      <c r="I41" s="414"/>
      <c r="J41" s="414"/>
      <c r="K41" s="414"/>
      <c r="L41" s="414"/>
      <c r="M41" s="414"/>
      <c r="N41" s="414"/>
      <c r="O41" s="415"/>
      <c r="P41" s="426"/>
      <c r="Q41" s="427"/>
      <c r="R41" s="430"/>
      <c r="S41" s="430"/>
      <c r="T41" s="467"/>
      <c r="U41" s="457"/>
      <c r="V41" s="425"/>
      <c r="W41" s="425"/>
      <c r="X41" s="66"/>
      <c r="Y41" s="67"/>
      <c r="Z41" s="510"/>
      <c r="AA41" s="511"/>
      <c r="AB41" s="512"/>
      <c r="AC41" s="441"/>
      <c r="AD41" s="440"/>
      <c r="AE41" s="440"/>
      <c r="AF41" s="465"/>
      <c r="AG41" s="65"/>
      <c r="AH41" s="444"/>
      <c r="AI41" s="445"/>
      <c r="AJ41" s="444"/>
      <c r="AK41" s="445"/>
      <c r="AL41" s="444"/>
      <c r="AM41" s="446"/>
      <c r="AN41" s="444"/>
      <c r="AO41" s="446"/>
      <c r="AP41" s="444"/>
      <c r="AQ41" s="446"/>
      <c r="AR41" s="444"/>
      <c r="AS41" s="445"/>
      <c r="AT41" s="66"/>
      <c r="AU41" s="65"/>
      <c r="AV41" s="66"/>
      <c r="AW41" s="434"/>
      <c r="AX41" s="434"/>
      <c r="AY41" s="434"/>
      <c r="AZ41" s="434"/>
      <c r="BA41" s="435"/>
      <c r="BB41" s="67"/>
    </row>
    <row r="42" spans="1:56" s="64" customFormat="1" ht="7.5" customHeight="1" x14ac:dyDescent="0.2">
      <c r="A42" s="422"/>
      <c r="B42" s="433"/>
      <c r="C42" s="433"/>
      <c r="D42" s="433"/>
      <c r="E42" s="433"/>
      <c r="F42" s="433"/>
      <c r="G42" s="414"/>
      <c r="H42" s="415"/>
      <c r="I42" s="414"/>
      <c r="J42" s="414"/>
      <c r="K42" s="414"/>
      <c r="L42" s="414"/>
      <c r="M42" s="414"/>
      <c r="N42" s="414"/>
      <c r="O42" s="415"/>
      <c r="P42" s="426"/>
      <c r="Q42" s="427"/>
      <c r="R42" s="430"/>
      <c r="S42" s="430"/>
      <c r="T42" s="467"/>
      <c r="U42" s="457"/>
      <c r="V42" s="425"/>
      <c r="W42" s="425"/>
      <c r="X42" s="66"/>
      <c r="Y42" s="67"/>
      <c r="Z42" s="510"/>
      <c r="AA42" s="511"/>
      <c r="AB42" s="512"/>
      <c r="AC42" s="441"/>
      <c r="AD42" s="440"/>
      <c r="AE42" s="440"/>
      <c r="AF42" s="465"/>
      <c r="AG42" s="65"/>
      <c r="AH42" s="444"/>
      <c r="AI42" s="445"/>
      <c r="AJ42" s="444"/>
      <c r="AK42" s="445"/>
      <c r="AL42" s="444"/>
      <c r="AM42" s="446"/>
      <c r="AN42" s="444"/>
      <c r="AO42" s="446"/>
      <c r="AP42" s="444"/>
      <c r="AQ42" s="446"/>
      <c r="AR42" s="444"/>
      <c r="AS42" s="445"/>
      <c r="AT42" s="66"/>
      <c r="AU42" s="65"/>
      <c r="AV42" s="66"/>
      <c r="AW42" s="434"/>
      <c r="AX42" s="434"/>
      <c r="AY42" s="434"/>
      <c r="AZ42" s="434"/>
      <c r="BA42" s="435"/>
      <c r="BB42" s="67"/>
    </row>
    <row r="43" spans="1:56" s="64" customFormat="1" ht="7.5" customHeight="1" x14ac:dyDescent="0.2">
      <c r="A43" s="422"/>
      <c r="B43" s="433"/>
      <c r="C43" s="433"/>
      <c r="D43" s="433"/>
      <c r="E43" s="433"/>
      <c r="F43" s="433"/>
      <c r="G43" s="414"/>
      <c r="H43" s="415"/>
      <c r="I43" s="414"/>
      <c r="J43" s="414"/>
      <c r="K43" s="414"/>
      <c r="L43" s="414"/>
      <c r="M43" s="414"/>
      <c r="N43" s="414"/>
      <c r="O43" s="415"/>
      <c r="P43" s="426"/>
      <c r="Q43" s="427"/>
      <c r="R43" s="430"/>
      <c r="S43" s="430"/>
      <c r="T43" s="467"/>
      <c r="U43" s="457"/>
      <c r="V43" s="425"/>
      <c r="W43" s="425"/>
      <c r="X43" s="66"/>
      <c r="Y43" s="67"/>
      <c r="Z43" s="510"/>
      <c r="AA43" s="511"/>
      <c r="AB43" s="512"/>
      <c r="AC43" s="441"/>
      <c r="AD43" s="440"/>
      <c r="AE43" s="440"/>
      <c r="AF43" s="465"/>
      <c r="AG43" s="65"/>
      <c r="AH43" s="444"/>
      <c r="AI43" s="445"/>
      <c r="AJ43" s="444"/>
      <c r="AK43" s="445"/>
      <c r="AL43" s="444"/>
      <c r="AM43" s="446"/>
      <c r="AN43" s="444"/>
      <c r="AO43" s="446"/>
      <c r="AP43" s="444"/>
      <c r="AQ43" s="446"/>
      <c r="AR43" s="444"/>
      <c r="AS43" s="445"/>
      <c r="AT43" s="66"/>
      <c r="AU43" s="65"/>
      <c r="AV43" s="66"/>
      <c r="AW43" s="434"/>
      <c r="AX43" s="434"/>
      <c r="AY43" s="434"/>
      <c r="AZ43" s="434"/>
      <c r="BA43" s="435"/>
      <c r="BB43" s="67"/>
    </row>
    <row r="44" spans="1:56" s="64" customFormat="1" ht="7.5" customHeight="1" x14ac:dyDescent="0.2">
      <c r="A44" s="422"/>
      <c r="B44" s="433"/>
      <c r="C44" s="433"/>
      <c r="D44" s="433"/>
      <c r="E44" s="433"/>
      <c r="F44" s="433"/>
      <c r="G44" s="414"/>
      <c r="H44" s="415"/>
      <c r="I44" s="414"/>
      <c r="J44" s="414"/>
      <c r="K44" s="414"/>
      <c r="L44" s="414"/>
      <c r="M44" s="414"/>
      <c r="N44" s="414"/>
      <c r="O44" s="415"/>
      <c r="P44" s="428"/>
      <c r="Q44" s="429"/>
      <c r="R44" s="430"/>
      <c r="S44" s="430"/>
      <c r="T44" s="467"/>
      <c r="U44" s="457"/>
      <c r="V44" s="425"/>
      <c r="W44" s="425"/>
      <c r="X44" s="66"/>
      <c r="Y44" s="67"/>
      <c r="Z44" s="510"/>
      <c r="AA44" s="511"/>
      <c r="AB44" s="512"/>
      <c r="AC44" s="442"/>
      <c r="AD44" s="443"/>
      <c r="AE44" s="443"/>
      <c r="AF44" s="466"/>
      <c r="AG44" s="65"/>
      <c r="AH44" s="444"/>
      <c r="AI44" s="445"/>
      <c r="AJ44" s="444"/>
      <c r="AK44" s="445"/>
      <c r="AL44" s="444"/>
      <c r="AM44" s="446"/>
      <c r="AN44" s="444"/>
      <c r="AO44" s="446"/>
      <c r="AP44" s="444"/>
      <c r="AQ44" s="446"/>
      <c r="AR44" s="444"/>
      <c r="AS44" s="445"/>
      <c r="AT44" s="66"/>
      <c r="AU44" s="65"/>
      <c r="AV44" s="66"/>
      <c r="AW44" s="434"/>
      <c r="AX44" s="434"/>
      <c r="AY44" s="434"/>
      <c r="AZ44" s="434"/>
      <c r="BA44" s="435"/>
      <c r="BB44" s="67"/>
    </row>
    <row r="45" spans="1:56" s="64" customFormat="1" ht="7.5" customHeight="1" x14ac:dyDescent="0.2">
      <c r="A45" s="416" t="s">
        <v>83</v>
      </c>
      <c r="B45" s="418" t="str">
        <f>IF('Header Info'!F42="","",'Header Info'!F42)</f>
        <v/>
      </c>
      <c r="C45" s="418" t="str">
        <f>IF('Header Info'!F41="","",'Header Info'!F41)</f>
        <v/>
      </c>
      <c r="D45" s="418" t="str">
        <f>IF('Header Info'!F40="","",'Header Info'!F40)</f>
        <v>1144.0 м</v>
      </c>
      <c r="E45" s="418" t="str">
        <f>IF('Header Info'!F39="","",'Header Info'!F39)</f>
        <v>452.7 м</v>
      </c>
      <c r="F45" s="420" t="str">
        <f>IF('Header Info'!F38="","",'Header Info'!F38)</f>
        <v>0.0 м</v>
      </c>
      <c r="G45" s="418" t="s">
        <v>41</v>
      </c>
      <c r="H45" s="415"/>
      <c r="I45" s="418" t="str">
        <f>IF('Header Info'!F31="","",'Header Info'!F31)</f>
        <v/>
      </c>
      <c r="J45" s="418" t="str">
        <f>IF('Header Info'!F30="","",'Header Info'!F30)</f>
        <v/>
      </c>
      <c r="K45" s="418" t="str">
        <f>IF('Header Info'!F29="","",'Header Info'!F29)</f>
        <v/>
      </c>
      <c r="L45" s="418" t="str">
        <f>IF('Header Info'!F28="","",'Header Info'!F28)</f>
        <v>0.0 м</v>
      </c>
      <c r="M45" s="418" t="str">
        <f>IF('Header Info'!F27="","",'Header Info'!F27)</f>
        <v>0.0 м</v>
      </c>
      <c r="N45" s="418" t="s">
        <v>41</v>
      </c>
      <c r="O45" s="415"/>
      <c r="P45" s="447" t="s">
        <v>84</v>
      </c>
      <c r="Q45" s="448"/>
      <c r="R45" s="448"/>
      <c r="S45" s="448"/>
      <c r="T45" s="448"/>
      <c r="U45" s="448"/>
      <c r="V45" s="448"/>
      <c r="W45" s="448"/>
      <c r="X45" s="448"/>
      <c r="Y45" s="449"/>
      <c r="Z45" s="510"/>
      <c r="AA45" s="511"/>
      <c r="AB45" s="512"/>
      <c r="AC45" s="95"/>
      <c r="AD45" s="85"/>
      <c r="AE45" s="83"/>
      <c r="AF45" s="86"/>
      <c r="AG45" s="65"/>
      <c r="AH45" s="444"/>
      <c r="AI45" s="445"/>
      <c r="AJ45" s="444"/>
      <c r="AK45" s="445"/>
      <c r="AL45" s="444"/>
      <c r="AM45" s="446"/>
      <c r="AN45" s="444"/>
      <c r="AO45" s="446"/>
      <c r="AP45" s="444"/>
      <c r="AQ45" s="446"/>
      <c r="AR45" s="444"/>
      <c r="AS45" s="445"/>
      <c r="AT45" s="66"/>
      <c r="AU45" s="65"/>
      <c r="AV45" s="66"/>
      <c r="AW45" s="434"/>
      <c r="AX45" s="434"/>
      <c r="AY45" s="434"/>
      <c r="AZ45" s="434"/>
      <c r="BA45" s="435"/>
      <c r="BB45" s="67"/>
    </row>
    <row r="46" spans="1:56" s="64" customFormat="1" ht="7.5" customHeight="1" x14ac:dyDescent="0.2">
      <c r="A46" s="416"/>
      <c r="B46" s="419"/>
      <c r="C46" s="419"/>
      <c r="D46" s="419"/>
      <c r="E46" s="419"/>
      <c r="F46" s="419"/>
      <c r="G46" s="418"/>
      <c r="H46" s="415"/>
      <c r="I46" s="418"/>
      <c r="J46" s="418"/>
      <c r="K46" s="418"/>
      <c r="L46" s="418"/>
      <c r="M46" s="418"/>
      <c r="N46" s="418"/>
      <c r="O46" s="415"/>
      <c r="P46" s="450"/>
      <c r="Q46" s="451"/>
      <c r="R46" s="451"/>
      <c r="S46" s="451"/>
      <c r="T46" s="451"/>
      <c r="U46" s="451"/>
      <c r="V46" s="451"/>
      <c r="W46" s="451"/>
      <c r="X46" s="451"/>
      <c r="Y46" s="452"/>
      <c r="Z46" s="510"/>
      <c r="AA46" s="511"/>
      <c r="AB46" s="512"/>
      <c r="AC46" s="453" t="s">
        <v>85</v>
      </c>
      <c r="AD46" s="425"/>
      <c r="AE46" s="425" t="s">
        <v>86</v>
      </c>
      <c r="AF46" s="454"/>
      <c r="AG46" s="65"/>
      <c r="AH46" s="444"/>
      <c r="AI46" s="445"/>
      <c r="AJ46" s="444"/>
      <c r="AK46" s="445"/>
      <c r="AL46" s="444"/>
      <c r="AM46" s="446"/>
      <c r="AN46" s="444"/>
      <c r="AO46" s="446"/>
      <c r="AP46" s="444"/>
      <c r="AQ46" s="446"/>
      <c r="AR46" s="444"/>
      <c r="AS46" s="445"/>
      <c r="AT46" s="66"/>
      <c r="AU46" s="65"/>
      <c r="AV46" s="66"/>
      <c r="AW46" s="434"/>
      <c r="AX46" s="434"/>
      <c r="AY46" s="434"/>
      <c r="AZ46" s="434"/>
      <c r="BA46" s="435"/>
      <c r="BB46" s="67"/>
      <c r="BC46" s="96"/>
      <c r="BD46" s="96"/>
    </row>
    <row r="47" spans="1:56" s="64" customFormat="1" ht="7.5" customHeight="1" x14ac:dyDescent="0.2">
      <c r="A47" s="416"/>
      <c r="B47" s="419"/>
      <c r="C47" s="419"/>
      <c r="D47" s="419"/>
      <c r="E47" s="419"/>
      <c r="F47" s="419"/>
      <c r="G47" s="418"/>
      <c r="H47" s="415"/>
      <c r="I47" s="418"/>
      <c r="J47" s="418"/>
      <c r="K47" s="418"/>
      <c r="L47" s="418"/>
      <c r="M47" s="418"/>
      <c r="N47" s="418"/>
      <c r="O47" s="415"/>
      <c r="P47" s="97"/>
      <c r="Q47" s="455" t="s">
        <v>87</v>
      </c>
      <c r="R47" s="455"/>
      <c r="S47" s="455" t="s">
        <v>88</v>
      </c>
      <c r="T47" s="455"/>
      <c r="U47" s="455" t="s">
        <v>89</v>
      </c>
      <c r="V47" s="455"/>
      <c r="W47" s="455" t="s">
        <v>90</v>
      </c>
      <c r="X47" s="456"/>
      <c r="Y47" s="86"/>
      <c r="Z47" s="510"/>
      <c r="AA47" s="511"/>
      <c r="AB47" s="512"/>
      <c r="AC47" s="453"/>
      <c r="AD47" s="425"/>
      <c r="AE47" s="425"/>
      <c r="AF47" s="454"/>
      <c r="AG47" s="65"/>
      <c r="AH47" s="444"/>
      <c r="AI47" s="445"/>
      <c r="AJ47" s="444"/>
      <c r="AK47" s="445"/>
      <c r="AL47" s="444"/>
      <c r="AM47" s="446"/>
      <c r="AN47" s="444"/>
      <c r="AO47" s="446"/>
      <c r="AP47" s="444"/>
      <c r="AQ47" s="446"/>
      <c r="AR47" s="444"/>
      <c r="AS47" s="445"/>
      <c r="AT47" s="66"/>
      <c r="AU47" s="65"/>
      <c r="AV47" s="66"/>
      <c r="AW47" s="434"/>
      <c r="AX47" s="434"/>
      <c r="AY47" s="434"/>
      <c r="AZ47" s="434"/>
      <c r="BA47" s="435"/>
      <c r="BB47" s="67"/>
      <c r="BC47" s="96"/>
      <c r="BD47" s="96"/>
    </row>
    <row r="48" spans="1:56" s="64" customFormat="1" ht="7.5" customHeight="1" x14ac:dyDescent="0.2">
      <c r="A48" s="416"/>
      <c r="B48" s="419"/>
      <c r="C48" s="419"/>
      <c r="D48" s="419"/>
      <c r="E48" s="419"/>
      <c r="F48" s="419"/>
      <c r="G48" s="418"/>
      <c r="H48" s="415"/>
      <c r="I48" s="418"/>
      <c r="J48" s="418"/>
      <c r="K48" s="418"/>
      <c r="L48" s="418"/>
      <c r="M48" s="418"/>
      <c r="N48" s="418"/>
      <c r="O48" s="415"/>
      <c r="P48" s="98"/>
      <c r="Q48" s="425"/>
      <c r="R48" s="425"/>
      <c r="S48" s="425"/>
      <c r="T48" s="425"/>
      <c r="U48" s="425"/>
      <c r="V48" s="425"/>
      <c r="W48" s="425"/>
      <c r="X48" s="454"/>
      <c r="Y48" s="397"/>
      <c r="Z48" s="510"/>
      <c r="AA48" s="511"/>
      <c r="AB48" s="512"/>
      <c r="AC48" s="453"/>
      <c r="AD48" s="425"/>
      <c r="AE48" s="425"/>
      <c r="AF48" s="454"/>
      <c r="AG48" s="65"/>
      <c r="AH48" s="444"/>
      <c r="AI48" s="445"/>
      <c r="AJ48" s="444"/>
      <c r="AK48" s="445"/>
      <c r="AL48" s="444"/>
      <c r="AM48" s="446"/>
      <c r="AN48" s="444"/>
      <c r="AO48" s="446"/>
      <c r="AP48" s="444"/>
      <c r="AQ48" s="446"/>
      <c r="AR48" s="444"/>
      <c r="AS48" s="445"/>
      <c r="AT48" s="66"/>
      <c r="AU48" s="65"/>
      <c r="AV48" s="66"/>
      <c r="AW48" s="434"/>
      <c r="AX48" s="434"/>
      <c r="AY48" s="434"/>
      <c r="AZ48" s="434"/>
      <c r="BA48" s="435"/>
      <c r="BB48" s="67"/>
      <c r="BC48" s="96"/>
      <c r="BD48" s="96"/>
    </row>
    <row r="49" spans="1:58" s="64" customFormat="1" ht="7.5" customHeight="1" x14ac:dyDescent="0.2">
      <c r="A49" s="416"/>
      <c r="B49" s="419"/>
      <c r="C49" s="419"/>
      <c r="D49" s="419"/>
      <c r="E49" s="419"/>
      <c r="F49" s="419"/>
      <c r="G49" s="418"/>
      <c r="H49" s="415"/>
      <c r="I49" s="418"/>
      <c r="J49" s="418"/>
      <c r="K49" s="418"/>
      <c r="L49" s="418"/>
      <c r="M49" s="418"/>
      <c r="N49" s="418"/>
      <c r="O49" s="415"/>
      <c r="P49" s="98"/>
      <c r="Q49" s="425"/>
      <c r="R49" s="425"/>
      <c r="S49" s="425"/>
      <c r="T49" s="425"/>
      <c r="U49" s="425"/>
      <c r="V49" s="425"/>
      <c r="W49" s="425"/>
      <c r="X49" s="454"/>
      <c r="Y49" s="397"/>
      <c r="Z49" s="510"/>
      <c r="AA49" s="511"/>
      <c r="AB49" s="512"/>
      <c r="AC49" s="453"/>
      <c r="AD49" s="425"/>
      <c r="AE49" s="425"/>
      <c r="AF49" s="454"/>
      <c r="AG49" s="65"/>
      <c r="AH49" s="444"/>
      <c r="AI49" s="445"/>
      <c r="AJ49" s="444"/>
      <c r="AK49" s="445"/>
      <c r="AL49" s="444"/>
      <c r="AM49" s="446"/>
      <c r="AN49" s="444"/>
      <c r="AO49" s="446"/>
      <c r="AP49" s="444"/>
      <c r="AQ49" s="446"/>
      <c r="AR49" s="444"/>
      <c r="AS49" s="445"/>
      <c r="AT49" s="66"/>
      <c r="AU49" s="65"/>
      <c r="AV49" s="66"/>
      <c r="AW49" s="434"/>
      <c r="AX49" s="434"/>
      <c r="AY49" s="434"/>
      <c r="AZ49" s="434"/>
      <c r="BA49" s="435"/>
      <c r="BB49" s="67"/>
      <c r="BC49" s="96"/>
      <c r="BD49" s="96"/>
    </row>
    <row r="50" spans="1:58" s="64" customFormat="1" ht="7.5" customHeight="1" x14ac:dyDescent="0.2">
      <c r="A50" s="416"/>
      <c r="B50" s="419"/>
      <c r="C50" s="419"/>
      <c r="D50" s="419"/>
      <c r="E50" s="419"/>
      <c r="F50" s="419"/>
      <c r="G50" s="418"/>
      <c r="H50" s="415"/>
      <c r="I50" s="418"/>
      <c r="J50" s="418"/>
      <c r="K50" s="418"/>
      <c r="L50" s="418"/>
      <c r="M50" s="418"/>
      <c r="N50" s="418"/>
      <c r="O50" s="415"/>
      <c r="P50" s="98"/>
      <c r="Q50" s="425"/>
      <c r="R50" s="425"/>
      <c r="S50" s="425"/>
      <c r="T50" s="425"/>
      <c r="U50" s="425"/>
      <c r="V50" s="425"/>
      <c r="W50" s="425"/>
      <c r="X50" s="454"/>
      <c r="Y50" s="397"/>
      <c r="Z50" s="510"/>
      <c r="AA50" s="511"/>
      <c r="AB50" s="512"/>
      <c r="AC50" s="453"/>
      <c r="AD50" s="425"/>
      <c r="AE50" s="425"/>
      <c r="AF50" s="454"/>
      <c r="AG50" s="65"/>
      <c r="AH50" s="444"/>
      <c r="AI50" s="445"/>
      <c r="AJ50" s="444"/>
      <c r="AK50" s="445"/>
      <c r="AL50" s="444"/>
      <c r="AM50" s="446"/>
      <c r="AN50" s="444"/>
      <c r="AO50" s="446"/>
      <c r="AP50" s="444"/>
      <c r="AQ50" s="446"/>
      <c r="AR50" s="444"/>
      <c r="AS50" s="445"/>
      <c r="AT50" s="66"/>
      <c r="AU50" s="65"/>
      <c r="AV50" s="66"/>
      <c r="AW50" s="434"/>
      <c r="AX50" s="434"/>
      <c r="AY50" s="434"/>
      <c r="AZ50" s="434"/>
      <c r="BA50" s="435"/>
      <c r="BB50" s="67"/>
      <c r="BC50" s="96"/>
      <c r="BD50" s="96"/>
      <c r="BF50" s="64" t="s">
        <v>91</v>
      </c>
    </row>
    <row r="51" spans="1:58" s="64" customFormat="1" ht="7.5" customHeight="1" x14ac:dyDescent="0.2">
      <c r="A51" s="416"/>
      <c r="B51" s="419"/>
      <c r="C51" s="419"/>
      <c r="D51" s="419"/>
      <c r="E51" s="419"/>
      <c r="F51" s="419"/>
      <c r="G51" s="418"/>
      <c r="H51" s="415"/>
      <c r="I51" s="418"/>
      <c r="J51" s="418"/>
      <c r="K51" s="418"/>
      <c r="L51" s="418"/>
      <c r="M51" s="418"/>
      <c r="N51" s="418"/>
      <c r="O51" s="415"/>
      <c r="P51" s="396"/>
      <c r="Q51" s="425"/>
      <c r="R51" s="425"/>
      <c r="S51" s="425"/>
      <c r="T51" s="425"/>
      <c r="U51" s="425"/>
      <c r="V51" s="425"/>
      <c r="W51" s="425"/>
      <c r="X51" s="454"/>
      <c r="Y51" s="397"/>
      <c r="Z51" s="510"/>
      <c r="AA51" s="511"/>
      <c r="AB51" s="512"/>
      <c r="AC51" s="453"/>
      <c r="AD51" s="425"/>
      <c r="AE51" s="425"/>
      <c r="AF51" s="454"/>
      <c r="AG51" s="65"/>
      <c r="AH51" s="444"/>
      <c r="AI51" s="445"/>
      <c r="AJ51" s="444"/>
      <c r="AK51" s="445"/>
      <c r="AL51" s="444"/>
      <c r="AM51" s="446"/>
      <c r="AN51" s="444"/>
      <c r="AO51" s="446"/>
      <c r="AP51" s="444"/>
      <c r="AQ51" s="446"/>
      <c r="AR51" s="444"/>
      <c r="AS51" s="445"/>
      <c r="AT51" s="66"/>
      <c r="AU51" s="65"/>
      <c r="AV51" s="66"/>
      <c r="AW51" s="434"/>
      <c r="AX51" s="434"/>
      <c r="AY51" s="434"/>
      <c r="AZ51" s="434"/>
      <c r="BA51" s="435"/>
      <c r="BB51" s="67"/>
      <c r="BC51" s="96"/>
      <c r="BD51" s="96"/>
    </row>
    <row r="52" spans="1:58" s="64" customFormat="1" ht="7.5" customHeight="1" x14ac:dyDescent="0.2">
      <c r="A52" s="416"/>
      <c r="B52" s="418" t="str">
        <f>IF('Header Info'!G42="","",'Header Info'!G42)</f>
        <v/>
      </c>
      <c r="C52" s="418" t="str">
        <f>IF('Header Info'!G41="","",'Header Info'!G41)</f>
        <v/>
      </c>
      <c r="D52" s="418" t="str">
        <f>IF('Header Info'!G40="","",'Header Info'!G40)</f>
        <v>2520.0 м</v>
      </c>
      <c r="E52" s="418" t="str">
        <f>IF('Header Info'!G39="","",'Header Info'!G39)</f>
        <v>1899.0 м</v>
      </c>
      <c r="F52" s="420" t="str">
        <f>IF('Header Info'!G38="","",'Header Info'!G38)</f>
        <v>452.7 м</v>
      </c>
      <c r="G52" s="418" t="s">
        <v>42</v>
      </c>
      <c r="H52" s="415"/>
      <c r="I52" s="418" t="str">
        <f>IF('Header Info'!G31="","",'Header Info'!G31)</f>
        <v/>
      </c>
      <c r="J52" s="418" t="str">
        <f>IF('Header Info'!G30="","",'Header Info'!G30)</f>
        <v/>
      </c>
      <c r="K52" s="418" t="str">
        <f>IF('Header Info'!G29="","",'Header Info'!G29)</f>
        <v/>
      </c>
      <c r="L52" s="418" t="str">
        <f>IF('Header Info'!G28="","",'Header Info'!G28)</f>
        <v>1140.3 м</v>
      </c>
      <c r="M52" s="418" t="str">
        <f>IF('Header Info'!G27="","",'Header Info'!G27)</f>
        <v>447.4 м</v>
      </c>
      <c r="N52" s="418" t="s">
        <v>42</v>
      </c>
      <c r="O52" s="415"/>
      <c r="P52" s="396"/>
      <c r="Q52" s="457" t="str">
        <f>'Header Info'!E19</f>
        <v>On Shore</v>
      </c>
      <c r="R52" s="457"/>
      <c r="S52" s="425" t="str">
        <f>'Header Info'!E18</f>
        <v>-</v>
      </c>
      <c r="T52" s="425"/>
      <c r="U52" s="425" t="str">
        <f>'Header Info'!E17</f>
        <v>44.21 м</v>
      </c>
      <c r="V52" s="425"/>
      <c r="W52" s="425" t="str">
        <f>'Header Info'!E16</f>
        <v>44.21 м</v>
      </c>
      <c r="X52" s="454"/>
      <c r="Y52" s="397"/>
      <c r="Z52" s="510"/>
      <c r="AA52" s="511"/>
      <c r="AB52" s="512"/>
      <c r="AC52" s="468" t="str">
        <f>'Header Info'!E7</f>
        <v>82.69°</v>
      </c>
      <c r="AD52" s="469"/>
      <c r="AE52" s="474" t="str">
        <f>'Header Info'!E6</f>
        <v>22.2°</v>
      </c>
      <c r="AF52" s="475"/>
      <c r="AG52" s="65"/>
      <c r="AH52" s="444"/>
      <c r="AI52" s="445"/>
      <c r="AJ52" s="444"/>
      <c r="AK52" s="445"/>
      <c r="AL52" s="444"/>
      <c r="AM52" s="446"/>
      <c r="AN52" s="444"/>
      <c r="AO52" s="446"/>
      <c r="AP52" s="444"/>
      <c r="AQ52" s="446"/>
      <c r="AR52" s="444"/>
      <c r="AS52" s="445"/>
      <c r="AT52" s="66"/>
      <c r="AU52" s="65"/>
      <c r="AV52" s="66"/>
      <c r="AW52" s="434"/>
      <c r="AX52" s="434"/>
      <c r="AY52" s="434"/>
      <c r="AZ52" s="434"/>
      <c r="BA52" s="435"/>
      <c r="BB52" s="67"/>
      <c r="BC52" s="96"/>
      <c r="BD52" s="96"/>
    </row>
    <row r="53" spans="1:58" s="64" customFormat="1" ht="7.5" customHeight="1" x14ac:dyDescent="0.2">
      <c r="A53" s="416"/>
      <c r="B53" s="419"/>
      <c r="C53" s="419"/>
      <c r="D53" s="419"/>
      <c r="E53" s="419"/>
      <c r="F53" s="419"/>
      <c r="G53" s="415"/>
      <c r="H53" s="415"/>
      <c r="I53" s="418"/>
      <c r="J53" s="415"/>
      <c r="K53" s="415"/>
      <c r="L53" s="415"/>
      <c r="M53" s="415"/>
      <c r="N53" s="415"/>
      <c r="O53" s="415"/>
      <c r="P53" s="396"/>
      <c r="Q53" s="457"/>
      <c r="R53" s="457"/>
      <c r="S53" s="425"/>
      <c r="T53" s="425"/>
      <c r="U53" s="425"/>
      <c r="V53" s="425"/>
      <c r="W53" s="425"/>
      <c r="X53" s="454"/>
      <c r="Y53" s="397"/>
      <c r="Z53" s="510"/>
      <c r="AA53" s="511"/>
      <c r="AB53" s="512"/>
      <c r="AC53" s="470"/>
      <c r="AD53" s="471"/>
      <c r="AE53" s="476"/>
      <c r="AF53" s="475"/>
      <c r="AG53" s="65"/>
      <c r="AH53" s="444"/>
      <c r="AI53" s="445"/>
      <c r="AJ53" s="444"/>
      <c r="AK53" s="445"/>
      <c r="AL53" s="444"/>
      <c r="AM53" s="446"/>
      <c r="AN53" s="444"/>
      <c r="AO53" s="446"/>
      <c r="AP53" s="444"/>
      <c r="AQ53" s="446"/>
      <c r="AR53" s="444"/>
      <c r="AS53" s="445"/>
      <c r="AT53" s="66"/>
      <c r="AU53" s="65"/>
      <c r="AV53" s="66"/>
      <c r="AW53" s="434"/>
      <c r="AX53" s="434"/>
      <c r="AY53" s="434"/>
      <c r="AZ53" s="434"/>
      <c r="BA53" s="435"/>
      <c r="BB53" s="67"/>
      <c r="BC53" s="96"/>
      <c r="BD53" s="96"/>
    </row>
    <row r="54" spans="1:58" s="64" customFormat="1" ht="7.5" customHeight="1" x14ac:dyDescent="0.2">
      <c r="A54" s="416"/>
      <c r="B54" s="419"/>
      <c r="C54" s="419"/>
      <c r="D54" s="419"/>
      <c r="E54" s="419"/>
      <c r="F54" s="419"/>
      <c r="G54" s="415"/>
      <c r="H54" s="415"/>
      <c r="I54" s="418"/>
      <c r="J54" s="415"/>
      <c r="K54" s="415"/>
      <c r="L54" s="415"/>
      <c r="M54" s="415"/>
      <c r="N54" s="415"/>
      <c r="O54" s="415"/>
      <c r="P54" s="396"/>
      <c r="Q54" s="457"/>
      <c r="R54" s="457"/>
      <c r="S54" s="425"/>
      <c r="T54" s="425"/>
      <c r="U54" s="425"/>
      <c r="V54" s="425"/>
      <c r="W54" s="425"/>
      <c r="X54" s="454"/>
      <c r="Y54" s="397"/>
      <c r="Z54" s="510"/>
      <c r="AA54" s="511"/>
      <c r="AB54" s="512"/>
      <c r="AC54" s="470"/>
      <c r="AD54" s="471"/>
      <c r="AE54" s="476"/>
      <c r="AF54" s="475"/>
      <c r="AG54" s="65"/>
      <c r="AH54" s="444"/>
      <c r="AI54" s="445"/>
      <c r="AJ54" s="444"/>
      <c r="AK54" s="445"/>
      <c r="AL54" s="444"/>
      <c r="AM54" s="446"/>
      <c r="AN54" s="444"/>
      <c r="AO54" s="446"/>
      <c r="AP54" s="444"/>
      <c r="AQ54" s="446"/>
      <c r="AR54" s="444"/>
      <c r="AS54" s="445"/>
      <c r="AT54" s="66"/>
      <c r="AU54" s="65"/>
      <c r="AV54" s="66"/>
      <c r="AW54" s="434"/>
      <c r="AX54" s="434"/>
      <c r="AY54" s="434"/>
      <c r="AZ54" s="434"/>
      <c r="BA54" s="435"/>
      <c r="BB54" s="67"/>
      <c r="BC54" s="96"/>
      <c r="BD54" s="96"/>
    </row>
    <row r="55" spans="1:58" s="64" customFormat="1" ht="7.5" customHeight="1" x14ac:dyDescent="0.2">
      <c r="A55" s="416"/>
      <c r="B55" s="419"/>
      <c r="C55" s="419"/>
      <c r="D55" s="419"/>
      <c r="E55" s="419"/>
      <c r="F55" s="419"/>
      <c r="G55" s="415"/>
      <c r="H55" s="415"/>
      <c r="I55" s="418"/>
      <c r="J55" s="415"/>
      <c r="K55" s="415"/>
      <c r="L55" s="415"/>
      <c r="M55" s="415"/>
      <c r="N55" s="415"/>
      <c r="O55" s="415"/>
      <c r="P55" s="396"/>
      <c r="Q55" s="457"/>
      <c r="R55" s="457"/>
      <c r="S55" s="425"/>
      <c r="T55" s="425"/>
      <c r="U55" s="425"/>
      <c r="V55" s="425"/>
      <c r="W55" s="425"/>
      <c r="X55" s="454"/>
      <c r="Y55" s="397"/>
      <c r="Z55" s="510"/>
      <c r="AA55" s="511"/>
      <c r="AB55" s="512"/>
      <c r="AC55" s="470"/>
      <c r="AD55" s="471"/>
      <c r="AE55" s="476"/>
      <c r="AF55" s="475"/>
      <c r="AG55" s="65"/>
      <c r="AH55" s="444"/>
      <c r="AI55" s="445"/>
      <c r="AJ55" s="444"/>
      <c r="AK55" s="445"/>
      <c r="AL55" s="444"/>
      <c r="AM55" s="446"/>
      <c r="AN55" s="444"/>
      <c r="AO55" s="446"/>
      <c r="AP55" s="444"/>
      <c r="AQ55" s="446"/>
      <c r="AR55" s="444"/>
      <c r="AS55" s="445"/>
      <c r="AT55" s="66"/>
      <c r="AU55" s="65"/>
      <c r="AV55" s="66"/>
      <c r="AW55" s="434"/>
      <c r="AX55" s="434"/>
      <c r="AY55" s="434"/>
      <c r="AZ55" s="434"/>
      <c r="BA55" s="435"/>
      <c r="BB55" s="67"/>
      <c r="BC55" s="96"/>
      <c r="BD55" s="96"/>
    </row>
    <row r="56" spans="1:58" s="64" customFormat="1" ht="7.5" customHeight="1" x14ac:dyDescent="0.2">
      <c r="A56" s="416"/>
      <c r="B56" s="419"/>
      <c r="C56" s="419"/>
      <c r="D56" s="419"/>
      <c r="E56" s="419"/>
      <c r="F56" s="419"/>
      <c r="G56" s="415"/>
      <c r="H56" s="415"/>
      <c r="I56" s="418"/>
      <c r="J56" s="415"/>
      <c r="K56" s="415"/>
      <c r="L56" s="415"/>
      <c r="M56" s="415"/>
      <c r="N56" s="415"/>
      <c r="O56" s="415"/>
      <c r="P56" s="396"/>
      <c r="Q56" s="457"/>
      <c r="R56" s="457"/>
      <c r="S56" s="425"/>
      <c r="T56" s="425"/>
      <c r="U56" s="425"/>
      <c r="V56" s="425"/>
      <c r="W56" s="425"/>
      <c r="X56" s="454"/>
      <c r="Y56" s="397"/>
      <c r="Z56" s="510"/>
      <c r="AA56" s="511"/>
      <c r="AB56" s="512"/>
      <c r="AC56" s="470"/>
      <c r="AD56" s="471"/>
      <c r="AE56" s="476"/>
      <c r="AF56" s="475"/>
      <c r="AG56" s="65"/>
      <c r="AH56" s="444"/>
      <c r="AI56" s="445"/>
      <c r="AJ56" s="444"/>
      <c r="AK56" s="445"/>
      <c r="AL56" s="444"/>
      <c r="AM56" s="446"/>
      <c r="AN56" s="444"/>
      <c r="AO56" s="446"/>
      <c r="AP56" s="444"/>
      <c r="AQ56" s="446"/>
      <c r="AR56" s="444"/>
      <c r="AS56" s="445"/>
      <c r="AT56" s="66"/>
      <c r="AU56" s="65"/>
      <c r="AV56" s="66"/>
      <c r="AW56" s="434"/>
      <c r="AX56" s="434"/>
      <c r="AY56" s="434"/>
      <c r="AZ56" s="434"/>
      <c r="BA56" s="435"/>
      <c r="BB56" s="67"/>
      <c r="BC56" s="96"/>
      <c r="BD56" s="96"/>
    </row>
    <row r="57" spans="1:58" s="64" customFormat="1" ht="7.5" customHeight="1" x14ac:dyDescent="0.2">
      <c r="A57" s="416"/>
      <c r="B57" s="419"/>
      <c r="C57" s="419"/>
      <c r="D57" s="419"/>
      <c r="E57" s="419"/>
      <c r="F57" s="419"/>
      <c r="G57" s="415"/>
      <c r="H57" s="415"/>
      <c r="I57" s="418"/>
      <c r="J57" s="415"/>
      <c r="K57" s="415"/>
      <c r="L57" s="415"/>
      <c r="M57" s="415"/>
      <c r="N57" s="415"/>
      <c r="O57" s="415"/>
      <c r="P57" s="396"/>
      <c r="Q57" s="457"/>
      <c r="R57" s="457"/>
      <c r="S57" s="425"/>
      <c r="T57" s="425"/>
      <c r="U57" s="425"/>
      <c r="V57" s="425"/>
      <c r="W57" s="425"/>
      <c r="X57" s="454"/>
      <c r="Y57" s="397"/>
      <c r="Z57" s="510"/>
      <c r="AA57" s="511"/>
      <c r="AB57" s="512"/>
      <c r="AC57" s="470"/>
      <c r="AD57" s="471"/>
      <c r="AE57" s="476"/>
      <c r="AF57" s="475"/>
      <c r="AG57" s="101"/>
      <c r="AH57" s="444"/>
      <c r="AI57" s="445"/>
      <c r="AJ57" s="444"/>
      <c r="AK57" s="445"/>
      <c r="AL57" s="444"/>
      <c r="AM57" s="446"/>
      <c r="AN57" s="444"/>
      <c r="AO57" s="446"/>
      <c r="AP57" s="444"/>
      <c r="AQ57" s="446"/>
      <c r="AR57" s="444"/>
      <c r="AS57" s="445"/>
      <c r="AT57" s="66"/>
      <c r="AU57" s="65"/>
      <c r="AV57" s="66"/>
      <c r="AW57" s="434"/>
      <c r="AX57" s="434"/>
      <c r="AY57" s="434"/>
      <c r="AZ57" s="434"/>
      <c r="BA57" s="435"/>
      <c r="BB57" s="67"/>
      <c r="BC57" s="96"/>
      <c r="BD57" s="96"/>
    </row>
    <row r="58" spans="1:58" s="64" customFormat="1" ht="7.5" customHeight="1" thickBot="1" x14ac:dyDescent="0.35">
      <c r="A58" s="417"/>
      <c r="B58" s="419"/>
      <c r="C58" s="419"/>
      <c r="D58" s="419"/>
      <c r="E58" s="419"/>
      <c r="F58" s="419"/>
      <c r="G58" s="415"/>
      <c r="H58" s="415"/>
      <c r="I58" s="418"/>
      <c r="J58" s="415"/>
      <c r="K58" s="415"/>
      <c r="L58" s="415"/>
      <c r="M58" s="415"/>
      <c r="N58" s="415"/>
      <c r="O58" s="415"/>
      <c r="P58" s="73"/>
      <c r="Q58" s="458"/>
      <c r="R58" s="458"/>
      <c r="S58" s="459"/>
      <c r="T58" s="459"/>
      <c r="U58" s="459"/>
      <c r="V58" s="459"/>
      <c r="W58" s="459"/>
      <c r="X58" s="460"/>
      <c r="Y58" s="102"/>
      <c r="Z58" s="513"/>
      <c r="AA58" s="514"/>
      <c r="AB58" s="515"/>
      <c r="AC58" s="472"/>
      <c r="AD58" s="473"/>
      <c r="AE58" s="477"/>
      <c r="AF58" s="478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88" t="s">
        <v>51</v>
      </c>
      <c r="B1" s="418"/>
      <c r="C1" s="418"/>
      <c r="D1" s="418" t="str">
        <f>IF('Header Info'!A40="","",'Header Info'!A40)</f>
        <v>155.6 мм</v>
      </c>
      <c r="E1" s="420" t="str">
        <f>IF('Header Info'!A39="","",'Header Info'!A39)</f>
        <v>220.7 мм</v>
      </c>
      <c r="F1" s="420" t="str">
        <f>IF('Header Info'!A38="","",'Header Info'!A38)</f>
        <v>295.3 мм</v>
      </c>
      <c r="G1" s="479" t="s">
        <v>52</v>
      </c>
      <c r="H1" s="414" t="s">
        <v>45</v>
      </c>
      <c r="I1" s="479" t="str">
        <f>IF('Header Info'!A31="","",'Header Info'!A31)</f>
        <v/>
      </c>
      <c r="J1" s="479" t="str">
        <f>IF('Header Info'!A30="","",'Header Info'!A30)</f>
        <v/>
      </c>
      <c r="K1" s="479" t="str">
        <f>IF('Header Info'!A29="","",'Header Info'!A29)</f>
        <v>155.6 мм</v>
      </c>
      <c r="L1" s="516" t="str">
        <f>IF('Header Info'!A28="","",'Header Info'!A28)</f>
        <v>220.7 мм</v>
      </c>
      <c r="M1" s="516" t="str">
        <f>IF('Header Info'!A27="","",'Header Info'!A27)</f>
        <v>295.3 мм</v>
      </c>
      <c r="N1" s="479" t="s">
        <v>52</v>
      </c>
      <c r="O1" s="414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16"/>
      <c r="B2" s="419"/>
      <c r="C2" s="419"/>
      <c r="D2" s="419"/>
      <c r="E2" s="419"/>
      <c r="F2" s="419"/>
      <c r="G2" s="479"/>
      <c r="H2" s="415"/>
      <c r="I2" s="479"/>
      <c r="J2" s="479"/>
      <c r="K2" s="479"/>
      <c r="L2" s="516"/>
      <c r="M2" s="516"/>
      <c r="N2" s="479"/>
      <c r="O2" s="415"/>
      <c r="P2" s="424" t="s">
        <v>53</v>
      </c>
      <c r="Q2" s="425"/>
      <c r="R2" s="495" t="s">
        <v>54</v>
      </c>
      <c r="S2" s="495"/>
      <c r="T2" s="517" t="s">
        <v>25</v>
      </c>
      <c r="U2" s="495"/>
      <c r="V2" s="495" t="s">
        <v>23</v>
      </c>
      <c r="W2" s="495"/>
      <c r="X2" s="495" t="s">
        <v>55</v>
      </c>
      <c r="Y2" s="496"/>
      <c r="Z2" s="489" t="s">
        <v>56</v>
      </c>
      <c r="AA2" s="489"/>
      <c r="AB2" s="489"/>
      <c r="AC2" s="489"/>
      <c r="AD2" s="489"/>
      <c r="AE2" s="489"/>
      <c r="AF2" s="497" t="str">
        <f>'Header Info'!B2</f>
        <v>АО "Мессояханефтегаз"</v>
      </c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8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16"/>
      <c r="B3" s="419"/>
      <c r="C3" s="419"/>
      <c r="D3" s="419"/>
      <c r="E3" s="419"/>
      <c r="F3" s="419"/>
      <c r="G3" s="479"/>
      <c r="H3" s="415"/>
      <c r="I3" s="479"/>
      <c r="J3" s="479"/>
      <c r="K3" s="479"/>
      <c r="L3" s="516"/>
      <c r="M3" s="516"/>
      <c r="N3" s="479"/>
      <c r="O3" s="415"/>
      <c r="P3" s="424"/>
      <c r="Q3" s="425"/>
      <c r="R3" s="495"/>
      <c r="S3" s="495"/>
      <c r="T3" s="517"/>
      <c r="U3" s="495"/>
      <c r="V3" s="495"/>
      <c r="W3" s="495"/>
      <c r="X3" s="495"/>
      <c r="Y3" s="496"/>
      <c r="Z3" s="489"/>
      <c r="AA3" s="489"/>
      <c r="AB3" s="489"/>
      <c r="AC3" s="489"/>
      <c r="AD3" s="489"/>
      <c r="AE3" s="48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500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16"/>
      <c r="B4" s="419"/>
      <c r="C4" s="419"/>
      <c r="D4" s="419"/>
      <c r="E4" s="419"/>
      <c r="F4" s="419"/>
      <c r="G4" s="479"/>
      <c r="H4" s="415"/>
      <c r="I4" s="479"/>
      <c r="J4" s="479"/>
      <c r="K4" s="479"/>
      <c r="L4" s="516"/>
      <c r="M4" s="516"/>
      <c r="N4" s="479"/>
      <c r="O4" s="415"/>
      <c r="P4" s="424"/>
      <c r="Q4" s="425"/>
      <c r="R4" s="495"/>
      <c r="S4" s="495"/>
      <c r="T4" s="517"/>
      <c r="U4" s="495"/>
      <c r="V4" s="495"/>
      <c r="W4" s="495"/>
      <c r="X4" s="495"/>
      <c r="Y4" s="496"/>
      <c r="Z4" s="489" t="s">
        <v>57</v>
      </c>
      <c r="AA4" s="501"/>
      <c r="AB4" s="501"/>
      <c r="AC4" s="501"/>
      <c r="AD4" s="501"/>
      <c r="AE4" s="501"/>
      <c r="AF4" s="502" t="str">
        <f>'Header Info'!B3</f>
        <v>4828st03#74 Горизонтальный ствол3</v>
      </c>
      <c r="AG4" s="502"/>
      <c r="AH4" s="502"/>
      <c r="AI4" s="502"/>
      <c r="AJ4" s="502"/>
      <c r="AK4" s="502"/>
      <c r="AL4" s="502"/>
      <c r="AM4" s="502"/>
      <c r="AN4" s="502"/>
      <c r="AO4" s="502"/>
      <c r="AP4" s="502"/>
      <c r="AQ4" s="502"/>
      <c r="AR4" s="502"/>
      <c r="AS4" s="502"/>
      <c r="AT4" s="50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16"/>
      <c r="B5" s="419"/>
      <c r="C5" s="419"/>
      <c r="D5" s="419"/>
      <c r="E5" s="419"/>
      <c r="F5" s="419"/>
      <c r="G5" s="479"/>
      <c r="H5" s="415"/>
      <c r="I5" s="479"/>
      <c r="J5" s="479"/>
      <c r="K5" s="479"/>
      <c r="L5" s="516"/>
      <c r="M5" s="516"/>
      <c r="N5" s="479"/>
      <c r="O5" s="415"/>
      <c r="P5" s="424"/>
      <c r="Q5" s="425"/>
      <c r="R5" s="495"/>
      <c r="S5" s="495"/>
      <c r="T5" s="517"/>
      <c r="U5" s="495"/>
      <c r="V5" s="495"/>
      <c r="W5" s="495"/>
      <c r="X5" s="495"/>
      <c r="Y5" s="496"/>
      <c r="Z5" s="501"/>
      <c r="AA5" s="501"/>
      <c r="AB5" s="501"/>
      <c r="AC5" s="501"/>
      <c r="AD5" s="501"/>
      <c r="AE5" s="501"/>
      <c r="AF5" s="504"/>
      <c r="AG5" s="504"/>
      <c r="AH5" s="504"/>
      <c r="AI5" s="504"/>
      <c r="AJ5" s="504"/>
      <c r="AK5" s="504"/>
      <c r="AL5" s="504"/>
      <c r="AM5" s="504"/>
      <c r="AN5" s="504"/>
      <c r="AO5" s="504"/>
      <c r="AP5" s="504"/>
      <c r="AQ5" s="504"/>
      <c r="AR5" s="504"/>
      <c r="AS5" s="504"/>
      <c r="AT5" s="50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16"/>
      <c r="B6" s="419"/>
      <c r="C6" s="419"/>
      <c r="D6" s="419"/>
      <c r="E6" s="419"/>
      <c r="F6" s="419"/>
      <c r="G6" s="479"/>
      <c r="H6" s="415"/>
      <c r="I6" s="479"/>
      <c r="J6" s="479"/>
      <c r="K6" s="479"/>
      <c r="L6" s="516"/>
      <c r="M6" s="516"/>
      <c r="N6" s="479"/>
      <c r="O6" s="415"/>
      <c r="P6" s="424"/>
      <c r="Q6" s="425"/>
      <c r="R6" s="495"/>
      <c r="S6" s="495"/>
      <c r="T6" s="517"/>
      <c r="U6" s="495"/>
      <c r="V6" s="495"/>
      <c r="W6" s="495"/>
      <c r="X6" s="495"/>
      <c r="Y6" s="496"/>
      <c r="Z6" s="489" t="s">
        <v>66</v>
      </c>
      <c r="AA6" s="489"/>
      <c r="AB6" s="489"/>
      <c r="AC6" s="489"/>
      <c r="AD6" s="489"/>
      <c r="AE6" s="489"/>
      <c r="AF6" s="497" t="str">
        <f>'Header Info'!B5</f>
        <v>Восточно-Мессояхское</v>
      </c>
      <c r="AG6" s="497"/>
      <c r="AH6" s="497"/>
      <c r="AI6" s="497"/>
      <c r="AJ6" s="497"/>
      <c r="AK6" s="497"/>
      <c r="AL6" s="497"/>
      <c r="AM6" s="497"/>
      <c r="AN6" s="497"/>
      <c r="AO6" s="497"/>
      <c r="AP6" s="497"/>
      <c r="AQ6" s="497"/>
      <c r="AR6" s="497"/>
      <c r="AS6" s="497"/>
      <c r="AT6" s="498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16"/>
      <c r="B7" s="419"/>
      <c r="C7" s="419"/>
      <c r="D7" s="419"/>
      <c r="E7" s="419"/>
      <c r="F7" s="419"/>
      <c r="G7" s="479"/>
      <c r="H7" s="415"/>
      <c r="I7" s="479"/>
      <c r="J7" s="479"/>
      <c r="K7" s="479"/>
      <c r="L7" s="516"/>
      <c r="M7" s="516"/>
      <c r="N7" s="479"/>
      <c r="O7" s="415"/>
      <c r="P7" s="424"/>
      <c r="Q7" s="425"/>
      <c r="R7" s="495"/>
      <c r="S7" s="495"/>
      <c r="T7" s="517"/>
      <c r="U7" s="495"/>
      <c r="V7" s="495"/>
      <c r="W7" s="495"/>
      <c r="X7" s="495"/>
      <c r="Y7" s="496"/>
      <c r="Z7" s="489"/>
      <c r="AA7" s="489"/>
      <c r="AB7" s="489"/>
      <c r="AC7" s="489"/>
      <c r="AD7" s="489"/>
      <c r="AE7" s="489"/>
      <c r="AF7" s="499"/>
      <c r="AG7" s="499"/>
      <c r="AH7" s="499"/>
      <c r="AI7" s="499"/>
      <c r="AJ7" s="499"/>
      <c r="AK7" s="499"/>
      <c r="AL7" s="499"/>
      <c r="AM7" s="499"/>
      <c r="AN7" s="499"/>
      <c r="AO7" s="499"/>
      <c r="AP7" s="499"/>
      <c r="AQ7" s="499"/>
      <c r="AR7" s="499"/>
      <c r="AS7" s="499"/>
      <c r="AT7" s="500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16"/>
      <c r="B8" s="419"/>
      <c r="C8" s="419"/>
      <c r="D8" s="419"/>
      <c r="E8" s="419"/>
      <c r="F8" s="419"/>
      <c r="G8" s="479"/>
      <c r="H8" s="415"/>
      <c r="I8" s="479"/>
      <c r="J8" s="479"/>
      <c r="K8" s="479"/>
      <c r="L8" s="516"/>
      <c r="M8" s="516"/>
      <c r="N8" s="479"/>
      <c r="O8" s="415"/>
      <c r="P8" s="424"/>
      <c r="Q8" s="425"/>
      <c r="R8" s="495"/>
      <c r="S8" s="495"/>
      <c r="T8" s="517"/>
      <c r="U8" s="495"/>
      <c r="V8" s="495"/>
      <c r="W8" s="495"/>
      <c r="X8" s="495"/>
      <c r="Y8" s="496"/>
      <c r="Z8" s="489" t="s">
        <v>59</v>
      </c>
      <c r="AA8" s="489"/>
      <c r="AB8" s="489"/>
      <c r="AC8" s="489"/>
      <c r="AD8" s="489"/>
      <c r="AE8" s="489"/>
      <c r="AF8" s="497" t="str">
        <f>'Header Info'!B6</f>
        <v>БУ-3200</v>
      </c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8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16"/>
      <c r="B9" s="419"/>
      <c r="C9" s="419"/>
      <c r="D9" s="419"/>
      <c r="E9" s="419"/>
      <c r="F9" s="419"/>
      <c r="G9" s="479"/>
      <c r="H9" s="415"/>
      <c r="I9" s="479"/>
      <c r="J9" s="479"/>
      <c r="K9" s="479"/>
      <c r="L9" s="516"/>
      <c r="M9" s="516"/>
      <c r="N9" s="479"/>
      <c r="O9" s="415"/>
      <c r="P9" s="424"/>
      <c r="Q9" s="425"/>
      <c r="R9" s="495"/>
      <c r="S9" s="495"/>
      <c r="T9" s="517"/>
      <c r="U9" s="495"/>
      <c r="V9" s="495"/>
      <c r="W9" s="495"/>
      <c r="X9" s="495"/>
      <c r="Y9" s="496"/>
      <c r="Z9" s="489"/>
      <c r="AA9" s="489"/>
      <c r="AB9" s="489"/>
      <c r="AC9" s="489"/>
      <c r="AD9" s="489"/>
      <c r="AE9" s="48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500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16"/>
      <c r="B10" s="414" t="str">
        <f>IF('Header Info'!B42="","",'Header Info'!B42)</f>
        <v/>
      </c>
      <c r="C10" s="414" t="str">
        <f>IF('Header Info'!B41="","",'Header Info'!B41)</f>
        <v/>
      </c>
      <c r="D10" s="414" t="str">
        <f>IF('Header Info'!B40="","",'Header Info'!B40)</f>
        <v>84.7°</v>
      </c>
      <c r="E10" s="414" t="str">
        <f>IF('Header Info'!B39="","",'Header Info'!B39)</f>
        <v>10.7°</v>
      </c>
      <c r="F10" s="414" t="str">
        <f>IF('Header Info'!B38="","",'Header Info'!B38)</f>
        <v>0.5°</v>
      </c>
      <c r="G10" s="487" t="s">
        <v>60</v>
      </c>
      <c r="H10" s="415"/>
      <c r="I10" s="479" t="str">
        <f>IF('Header Info'!B31="","",'Header Info'!B31)</f>
        <v/>
      </c>
      <c r="J10" s="479" t="str">
        <f>IF('Header Info'!B30="","",'Header Info'!B30)</f>
        <v/>
      </c>
      <c r="K10" s="479" t="str">
        <f>IF('Header Info'!B29="","",'Header Info'!B29)</f>
        <v>1144.0 м</v>
      </c>
      <c r="L10" s="479" t="str">
        <f>IF('Header Info'!B28="","",'Header Info'!B28)</f>
        <v>452.7 м</v>
      </c>
      <c r="M10" s="479" t="str">
        <f>IF('Header Info'!B27="","",'Header Info'!B27)</f>
        <v>0.0 м</v>
      </c>
      <c r="N10" s="487" t="s">
        <v>41</v>
      </c>
      <c r="O10" s="415"/>
      <c r="P10" s="424"/>
      <c r="Q10" s="425"/>
      <c r="R10" s="495"/>
      <c r="S10" s="495"/>
      <c r="T10" s="517"/>
      <c r="U10" s="495"/>
      <c r="V10" s="495"/>
      <c r="W10" s="495"/>
      <c r="X10" s="495"/>
      <c r="Y10" s="496"/>
      <c r="Z10" s="489" t="s">
        <v>61</v>
      </c>
      <c r="AA10" s="489"/>
      <c r="AB10" s="489"/>
      <c r="AC10" s="489"/>
      <c r="AD10" s="489"/>
      <c r="AE10" s="489"/>
      <c r="AF10" s="490" t="str">
        <f>'Header Info'!B7</f>
        <v>Россия</v>
      </c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1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16"/>
      <c r="B11" s="419"/>
      <c r="C11" s="419"/>
      <c r="D11" s="419"/>
      <c r="E11" s="419"/>
      <c r="F11" s="419"/>
      <c r="G11" s="487"/>
      <c r="H11" s="415"/>
      <c r="I11" s="479"/>
      <c r="J11" s="479"/>
      <c r="K11" s="479"/>
      <c r="L11" s="479"/>
      <c r="M11" s="479"/>
      <c r="N11" s="487"/>
      <c r="O11" s="415"/>
      <c r="P11" s="426">
        <f>'Header Info'!B20</f>
        <v>44669</v>
      </c>
      <c r="Q11" s="427"/>
      <c r="R11" s="494" t="str">
        <f>'Header Info'!B18</f>
        <v>1460.00 м</v>
      </c>
      <c r="S11" s="494"/>
      <c r="T11" s="517"/>
      <c r="U11" s="495"/>
      <c r="V11" s="495"/>
      <c r="W11" s="495"/>
      <c r="X11" s="495"/>
      <c r="Y11" s="496"/>
      <c r="Z11" s="489"/>
      <c r="AA11" s="489"/>
      <c r="AB11" s="489"/>
      <c r="AC11" s="489"/>
      <c r="AD11" s="489"/>
      <c r="AE11" s="489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3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16"/>
      <c r="B12" s="419"/>
      <c r="C12" s="419"/>
      <c r="D12" s="419"/>
      <c r="E12" s="419"/>
      <c r="F12" s="419"/>
      <c r="G12" s="487"/>
      <c r="H12" s="415"/>
      <c r="I12" s="479"/>
      <c r="J12" s="479"/>
      <c r="K12" s="479"/>
      <c r="L12" s="479"/>
      <c r="M12" s="479"/>
      <c r="N12" s="487"/>
      <c r="O12" s="415"/>
      <c r="P12" s="426"/>
      <c r="Q12" s="427"/>
      <c r="R12" s="494"/>
      <c r="S12" s="494"/>
      <c r="T12" s="517"/>
      <c r="U12" s="495"/>
      <c r="V12" s="495"/>
      <c r="W12" s="495"/>
      <c r="X12" s="495"/>
      <c r="Y12" s="496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16"/>
      <c r="B13" s="419"/>
      <c r="C13" s="419"/>
      <c r="D13" s="419"/>
      <c r="E13" s="419"/>
      <c r="F13" s="419"/>
      <c r="G13" s="487"/>
      <c r="H13" s="415"/>
      <c r="I13" s="479"/>
      <c r="J13" s="479"/>
      <c r="K13" s="479"/>
      <c r="L13" s="479"/>
      <c r="M13" s="479"/>
      <c r="N13" s="487"/>
      <c r="O13" s="415"/>
      <c r="P13" s="426"/>
      <c r="Q13" s="427"/>
      <c r="R13" s="494"/>
      <c r="S13" s="494"/>
      <c r="T13" s="517"/>
      <c r="U13" s="495"/>
      <c r="V13" s="495"/>
      <c r="W13" s="495"/>
      <c r="X13" s="495"/>
      <c r="Y13" s="496"/>
      <c r="Z13" s="447" t="s">
        <v>62</v>
      </c>
      <c r="AA13" s="448"/>
      <c r="AB13" s="448"/>
      <c r="AC13" s="448"/>
      <c r="AD13" s="448"/>
      <c r="AE13" s="448"/>
      <c r="AF13" s="449"/>
      <c r="AG13" s="61"/>
      <c r="AH13" s="480" t="s">
        <v>63</v>
      </c>
      <c r="AI13" s="480"/>
      <c r="AJ13" s="480" t="s">
        <v>64</v>
      </c>
      <c r="AK13" s="480"/>
      <c r="AL13" s="480" t="s">
        <v>65</v>
      </c>
      <c r="AM13" s="480"/>
      <c r="AN13" s="480" t="s">
        <v>66</v>
      </c>
      <c r="AO13" s="480"/>
      <c r="AP13" s="480" t="s">
        <v>67</v>
      </c>
      <c r="AQ13" s="480"/>
      <c r="AR13" s="480" t="s">
        <v>68</v>
      </c>
      <c r="AS13" s="48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16"/>
      <c r="B14" s="419"/>
      <c r="C14" s="419"/>
      <c r="D14" s="419"/>
      <c r="E14" s="419"/>
      <c r="F14" s="419"/>
      <c r="G14" s="487"/>
      <c r="H14" s="415"/>
      <c r="I14" s="479"/>
      <c r="J14" s="479"/>
      <c r="K14" s="479"/>
      <c r="L14" s="479"/>
      <c r="M14" s="479"/>
      <c r="N14" s="487"/>
      <c r="O14" s="415"/>
      <c r="P14" s="426"/>
      <c r="Q14" s="427"/>
      <c r="R14" s="494"/>
      <c r="S14" s="494"/>
      <c r="T14" s="517"/>
      <c r="U14" s="495"/>
      <c r="V14" s="495"/>
      <c r="W14" s="495"/>
      <c r="X14" s="495"/>
      <c r="Y14" s="496"/>
      <c r="Z14" s="450"/>
      <c r="AA14" s="451"/>
      <c r="AB14" s="451"/>
      <c r="AC14" s="451"/>
      <c r="AD14" s="451"/>
      <c r="AE14" s="451"/>
      <c r="AF14" s="452"/>
      <c r="AG14" s="65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81" t="s">
        <v>69</v>
      </c>
      <c r="B15" s="419"/>
      <c r="C15" s="419"/>
      <c r="D15" s="419"/>
      <c r="E15" s="419"/>
      <c r="F15" s="419"/>
      <c r="G15" s="487"/>
      <c r="H15" s="415"/>
      <c r="I15" s="479"/>
      <c r="J15" s="479"/>
      <c r="K15" s="479"/>
      <c r="L15" s="479"/>
      <c r="M15" s="479"/>
      <c r="N15" s="487"/>
      <c r="O15" s="415"/>
      <c r="P15" s="426"/>
      <c r="Q15" s="427"/>
      <c r="R15" s="494"/>
      <c r="S15" s="494"/>
      <c r="T15" s="424" t="str">
        <f>'Header Info'!B15</f>
        <v>длина буровой трубы</v>
      </c>
      <c r="U15" s="425"/>
      <c r="V15" s="425" t="str">
        <f>'Header Info'!B14</f>
        <v>пол буровой</v>
      </c>
      <c r="W15" s="425"/>
      <c r="X15" s="425" t="str">
        <f>'Header Info'!B12</f>
        <v>средний уровень моря</v>
      </c>
      <c r="Y15" s="454"/>
      <c r="Z15" s="82"/>
      <c r="AA15" s="83"/>
      <c r="AB15" s="84"/>
      <c r="AC15" s="66"/>
      <c r="AD15" s="85"/>
      <c r="AE15" s="66"/>
      <c r="AF15" s="86"/>
      <c r="AG15" s="65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82"/>
      <c r="B16" s="419"/>
      <c r="C16" s="419"/>
      <c r="D16" s="419"/>
      <c r="E16" s="419"/>
      <c r="F16" s="419"/>
      <c r="G16" s="487"/>
      <c r="H16" s="415"/>
      <c r="I16" s="479"/>
      <c r="J16" s="479"/>
      <c r="K16" s="479"/>
      <c r="L16" s="479"/>
      <c r="M16" s="479"/>
      <c r="N16" s="487"/>
      <c r="O16" s="415"/>
      <c r="P16" s="426"/>
      <c r="Q16" s="427"/>
      <c r="R16" s="494"/>
      <c r="S16" s="494"/>
      <c r="T16" s="424"/>
      <c r="U16" s="425"/>
      <c r="V16" s="425"/>
      <c r="W16" s="425"/>
      <c r="X16" s="425"/>
      <c r="Y16" s="454"/>
      <c r="Z16" s="424" t="s">
        <v>70</v>
      </c>
      <c r="AA16" s="425"/>
      <c r="AB16" s="484"/>
      <c r="AC16" s="453" t="s">
        <v>4</v>
      </c>
      <c r="AD16" s="425"/>
      <c r="AE16" s="425" t="s">
        <v>2</v>
      </c>
      <c r="AF16" s="454"/>
      <c r="AG16" s="65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82"/>
      <c r="B17" s="419"/>
      <c r="C17" s="419"/>
      <c r="D17" s="419"/>
      <c r="E17" s="419"/>
      <c r="F17" s="419"/>
      <c r="G17" s="487"/>
      <c r="H17" s="415"/>
      <c r="I17" s="479"/>
      <c r="J17" s="479"/>
      <c r="K17" s="479"/>
      <c r="L17" s="479"/>
      <c r="M17" s="479"/>
      <c r="N17" s="487"/>
      <c r="O17" s="415"/>
      <c r="P17" s="426"/>
      <c r="Q17" s="427"/>
      <c r="R17" s="494"/>
      <c r="S17" s="494"/>
      <c r="T17" s="424"/>
      <c r="U17" s="425"/>
      <c r="V17" s="425"/>
      <c r="W17" s="425"/>
      <c r="X17" s="425"/>
      <c r="Y17" s="454"/>
      <c r="Z17" s="424"/>
      <c r="AA17" s="425"/>
      <c r="AB17" s="484"/>
      <c r="AC17" s="453"/>
      <c r="AD17" s="425"/>
      <c r="AE17" s="425"/>
      <c r="AF17" s="454"/>
      <c r="AG17" s="65"/>
      <c r="AH17" s="480"/>
      <c r="AI17" s="480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82"/>
      <c r="B18" s="419"/>
      <c r="C18" s="419"/>
      <c r="D18" s="419"/>
      <c r="E18" s="419"/>
      <c r="F18" s="419"/>
      <c r="G18" s="487"/>
      <c r="H18" s="415"/>
      <c r="I18" s="479"/>
      <c r="J18" s="479"/>
      <c r="K18" s="479"/>
      <c r="L18" s="479"/>
      <c r="M18" s="479"/>
      <c r="N18" s="487"/>
      <c r="O18" s="415"/>
      <c r="P18" s="485" t="s">
        <v>71</v>
      </c>
      <c r="Q18" s="486"/>
      <c r="R18" s="486" t="s">
        <v>71</v>
      </c>
      <c r="S18" s="486"/>
      <c r="T18" s="424"/>
      <c r="U18" s="425"/>
      <c r="V18" s="425"/>
      <c r="W18" s="425"/>
      <c r="X18" s="425"/>
      <c r="Y18" s="454"/>
      <c r="Z18" s="424"/>
      <c r="AA18" s="425"/>
      <c r="AB18" s="484"/>
      <c r="AC18" s="453"/>
      <c r="AD18" s="425"/>
      <c r="AE18" s="425"/>
      <c r="AF18" s="454"/>
      <c r="AG18" s="65"/>
      <c r="AH18" s="480"/>
      <c r="AI18" s="480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82"/>
      <c r="B19" s="414" t="str">
        <f>IF('Header Info'!C42="","",'Header Info'!C42)</f>
        <v/>
      </c>
      <c r="C19" s="414" t="str">
        <f>IF('Header Info'!C41="","",'Header Info'!C41)</f>
        <v/>
      </c>
      <c r="D19" s="414" t="str">
        <f>IF('Header Info'!C40="","",'Header Info'!C40)</f>
        <v>91.1°</v>
      </c>
      <c r="E19" s="432" t="str">
        <f>IF('Header Info'!C39="","",'Header Info'!C39)</f>
        <v>84.0°</v>
      </c>
      <c r="F19" s="432" t="str">
        <f>IF('Header Info'!C38="","",'Header Info'!C38)</f>
        <v>10.7°</v>
      </c>
      <c r="G19" s="479" t="s">
        <v>72</v>
      </c>
      <c r="H19" s="415"/>
      <c r="I19" s="414" t="str">
        <f>IF('Header Info'!C31="","",'Header Info'!C31)</f>
        <v/>
      </c>
      <c r="J19" s="414" t="str">
        <f>IF('Header Info'!C30="","",'Header Info'!C30)</f>
        <v/>
      </c>
      <c r="K19" s="479" t="str">
        <f>IF('Header Info'!C29="","",'Header Info'!C29)</f>
        <v>2520.0 м</v>
      </c>
      <c r="L19" s="479" t="str">
        <f>IF('Header Info'!C28="","",'Header Info'!C28)</f>
        <v>1144.0 м</v>
      </c>
      <c r="M19" s="479" t="str">
        <f>IF('Header Info'!C27="","",'Header Info'!C27)</f>
        <v>452.7 м</v>
      </c>
      <c r="N19" s="479" t="s">
        <v>42</v>
      </c>
      <c r="O19" s="415"/>
      <c r="P19" s="485"/>
      <c r="Q19" s="486"/>
      <c r="R19" s="486"/>
      <c r="S19" s="486"/>
      <c r="T19" s="424"/>
      <c r="U19" s="425"/>
      <c r="V19" s="425"/>
      <c r="W19" s="425"/>
      <c r="X19" s="425"/>
      <c r="Y19" s="454"/>
      <c r="Z19" s="424"/>
      <c r="AA19" s="425"/>
      <c r="AB19" s="484"/>
      <c r="AC19" s="453"/>
      <c r="AD19" s="425"/>
      <c r="AE19" s="425"/>
      <c r="AF19" s="454"/>
      <c r="AG19" s="65"/>
      <c r="AH19" s="480"/>
      <c r="AI19" s="480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82"/>
      <c r="B20" s="419"/>
      <c r="C20" s="419"/>
      <c r="D20" s="419"/>
      <c r="E20" s="419"/>
      <c r="F20" s="419"/>
      <c r="G20" s="479"/>
      <c r="H20" s="415"/>
      <c r="I20" s="419"/>
      <c r="J20" s="419"/>
      <c r="K20" s="479"/>
      <c r="L20" s="479"/>
      <c r="M20" s="479"/>
      <c r="N20" s="479"/>
      <c r="O20" s="415"/>
      <c r="P20" s="426">
        <f>'Header Info'!B21</f>
        <v>44672</v>
      </c>
      <c r="Q20" s="427"/>
      <c r="R20" s="457" t="str">
        <f>'Header Info'!B19</f>
        <v>2520.00 м</v>
      </c>
      <c r="S20" s="457"/>
      <c r="T20" s="424"/>
      <c r="U20" s="425"/>
      <c r="V20" s="425"/>
      <c r="W20" s="425"/>
      <c r="X20" s="425"/>
      <c r="Y20" s="454"/>
      <c r="Z20" s="424"/>
      <c r="AA20" s="425"/>
      <c r="AB20" s="484"/>
      <c r="AC20" s="453"/>
      <c r="AD20" s="425"/>
      <c r="AE20" s="425"/>
      <c r="AF20" s="454"/>
      <c r="AG20" s="65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82"/>
      <c r="B21" s="419"/>
      <c r="C21" s="419"/>
      <c r="D21" s="419"/>
      <c r="E21" s="419"/>
      <c r="F21" s="419"/>
      <c r="G21" s="479"/>
      <c r="H21" s="415"/>
      <c r="I21" s="419"/>
      <c r="J21" s="419"/>
      <c r="K21" s="479"/>
      <c r="L21" s="479"/>
      <c r="M21" s="479"/>
      <c r="N21" s="479"/>
      <c r="O21" s="415"/>
      <c r="P21" s="426"/>
      <c r="Q21" s="427"/>
      <c r="R21" s="457"/>
      <c r="S21" s="457"/>
      <c r="T21" s="424"/>
      <c r="U21" s="425"/>
      <c r="V21" s="425"/>
      <c r="W21" s="425"/>
      <c r="X21" s="425"/>
      <c r="Y21" s="454"/>
      <c r="Z21" s="424"/>
      <c r="AA21" s="425"/>
      <c r="AB21" s="484"/>
      <c r="AC21" s="453"/>
      <c r="AD21" s="425"/>
      <c r="AE21" s="425"/>
      <c r="AF21" s="454"/>
      <c r="AG21" s="65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82"/>
      <c r="B22" s="419"/>
      <c r="C22" s="419"/>
      <c r="D22" s="419"/>
      <c r="E22" s="419"/>
      <c r="F22" s="419"/>
      <c r="G22" s="479"/>
      <c r="H22" s="415"/>
      <c r="I22" s="419"/>
      <c r="J22" s="419"/>
      <c r="K22" s="479"/>
      <c r="L22" s="479"/>
      <c r="M22" s="479"/>
      <c r="N22" s="479"/>
      <c r="O22" s="415"/>
      <c r="P22" s="426"/>
      <c r="Q22" s="427"/>
      <c r="R22" s="457"/>
      <c r="S22" s="457"/>
      <c r="T22" s="424"/>
      <c r="U22" s="425"/>
      <c r="V22" s="425"/>
      <c r="W22" s="425"/>
      <c r="X22" s="425"/>
      <c r="Y22" s="454"/>
      <c r="Z22" s="424"/>
      <c r="AA22" s="425"/>
      <c r="AB22" s="484"/>
      <c r="AC22" s="453"/>
      <c r="AD22" s="425"/>
      <c r="AE22" s="425"/>
      <c r="AF22" s="454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82"/>
      <c r="B23" s="419"/>
      <c r="C23" s="419"/>
      <c r="D23" s="419"/>
      <c r="E23" s="419"/>
      <c r="F23" s="419"/>
      <c r="G23" s="479"/>
      <c r="H23" s="415"/>
      <c r="I23" s="419"/>
      <c r="J23" s="419"/>
      <c r="K23" s="479"/>
      <c r="L23" s="479"/>
      <c r="M23" s="479"/>
      <c r="N23" s="479"/>
      <c r="O23" s="415"/>
      <c r="P23" s="426"/>
      <c r="Q23" s="427"/>
      <c r="R23" s="457"/>
      <c r="S23" s="457"/>
      <c r="T23" s="424"/>
      <c r="U23" s="425"/>
      <c r="V23" s="509" t="s">
        <v>73</v>
      </c>
      <c r="W23" s="509"/>
      <c r="X23" s="425"/>
      <c r="Y23" s="454"/>
      <c r="Z23" s="510" t="str">
        <f>'Header Info'!B10</f>
        <v>ННБ, Гамма, Сопротивление, Плотность, Пористость, Кавернометрия.</v>
      </c>
      <c r="AA23" s="511"/>
      <c r="AB23" s="512"/>
      <c r="AC23" s="461" t="str">
        <f>'Header Info'!E3</f>
        <v>79° 49' 45.665" В</v>
      </c>
      <c r="AD23" s="462"/>
      <c r="AE23" s="462" t="str">
        <f>'Header Info'!E2</f>
        <v>68° 31' 46.245" С</v>
      </c>
      <c r="AF23" s="463"/>
      <c r="AG23" s="65"/>
      <c r="AH23" s="444" t="str">
        <f>'Header Info'!B8</f>
        <v>W9220112</v>
      </c>
      <c r="AI23" s="445"/>
      <c r="AJ23" s="444" t="str">
        <f>'Header Info'!B7</f>
        <v>Россия</v>
      </c>
      <c r="AK23" s="445"/>
      <c r="AL23" s="444" t="str">
        <f>'Header Info'!B6</f>
        <v>БУ-3200</v>
      </c>
      <c r="AM23" s="446"/>
      <c r="AN23" s="444" t="str">
        <f>'Header Info'!B5</f>
        <v>Восточно-Мессояхское</v>
      </c>
      <c r="AO23" s="446"/>
      <c r="AP23" s="444" t="str">
        <f>'Header Info'!B3</f>
        <v>4828st03#74 Горизонтальный ствол3</v>
      </c>
      <c r="AQ23" s="446"/>
      <c r="AR23" s="444" t="str">
        <f>'Header Info'!B2</f>
        <v>АО "Мессояханефтегаз"</v>
      </c>
      <c r="AS23" s="445"/>
      <c r="AT23" s="80"/>
      <c r="AU23" s="65"/>
      <c r="AV23" s="66"/>
      <c r="AW23" s="434" t="s">
        <v>74</v>
      </c>
      <c r="AX23" s="434" t="s">
        <v>465</v>
      </c>
      <c r="AY23" s="434" t="s">
        <v>466</v>
      </c>
      <c r="AZ23" s="434" t="str">
        <f>CONCATENATE("Секция ",'Header Info'!B17," ",'Header Info'!B4)</f>
        <v>Секция 155.6 мм Горизонтальный ствол3</v>
      </c>
      <c r="BA23" s="435" t="s">
        <v>76</v>
      </c>
      <c r="BB23" s="67"/>
      <c r="BF23" s="66"/>
    </row>
    <row r="24" spans="1:58" s="64" customFormat="1" ht="7.5" customHeight="1" x14ac:dyDescent="0.2">
      <c r="A24" s="482"/>
      <c r="B24" s="419"/>
      <c r="C24" s="419"/>
      <c r="D24" s="419"/>
      <c r="E24" s="419"/>
      <c r="F24" s="419"/>
      <c r="G24" s="479"/>
      <c r="H24" s="415"/>
      <c r="I24" s="419"/>
      <c r="J24" s="419"/>
      <c r="K24" s="479"/>
      <c r="L24" s="479"/>
      <c r="M24" s="479"/>
      <c r="N24" s="479"/>
      <c r="O24" s="415"/>
      <c r="P24" s="426"/>
      <c r="Q24" s="427"/>
      <c r="R24" s="457"/>
      <c r="S24" s="457"/>
      <c r="T24" s="424"/>
      <c r="U24" s="425"/>
      <c r="V24" s="509"/>
      <c r="W24" s="509"/>
      <c r="X24" s="425"/>
      <c r="Y24" s="454"/>
      <c r="Z24" s="510"/>
      <c r="AA24" s="511"/>
      <c r="AB24" s="512"/>
      <c r="AC24" s="461"/>
      <c r="AD24" s="462"/>
      <c r="AE24" s="462"/>
      <c r="AF24" s="463"/>
      <c r="AG24" s="65"/>
      <c r="AH24" s="444"/>
      <c r="AI24" s="445"/>
      <c r="AJ24" s="444"/>
      <c r="AK24" s="445"/>
      <c r="AL24" s="444"/>
      <c r="AM24" s="446"/>
      <c r="AN24" s="444"/>
      <c r="AO24" s="446"/>
      <c r="AP24" s="444"/>
      <c r="AQ24" s="446"/>
      <c r="AR24" s="444"/>
      <c r="AS24" s="445"/>
      <c r="AT24" s="80"/>
      <c r="AU24" s="65"/>
      <c r="AV24" s="66"/>
      <c r="AW24" s="434"/>
      <c r="AX24" s="434"/>
      <c r="AY24" s="434"/>
      <c r="AZ24" s="434"/>
      <c r="BA24" s="435"/>
      <c r="BB24" s="67"/>
      <c r="BF24" s="66"/>
    </row>
    <row r="25" spans="1:58" s="64" customFormat="1" ht="7.5" customHeight="1" x14ac:dyDescent="0.2">
      <c r="A25" s="482"/>
      <c r="B25" s="419"/>
      <c r="C25" s="419"/>
      <c r="D25" s="419"/>
      <c r="E25" s="419"/>
      <c r="F25" s="419"/>
      <c r="G25" s="479"/>
      <c r="H25" s="415"/>
      <c r="I25" s="419"/>
      <c r="J25" s="419"/>
      <c r="K25" s="479"/>
      <c r="L25" s="479"/>
      <c r="M25" s="479"/>
      <c r="N25" s="479"/>
      <c r="O25" s="415"/>
      <c r="P25" s="426"/>
      <c r="Q25" s="427"/>
      <c r="R25" s="457"/>
      <c r="S25" s="457"/>
      <c r="T25" s="424"/>
      <c r="U25" s="425"/>
      <c r="V25" s="509"/>
      <c r="W25" s="509"/>
      <c r="X25" s="425"/>
      <c r="Y25" s="454"/>
      <c r="Z25" s="510"/>
      <c r="AA25" s="511"/>
      <c r="AB25" s="512"/>
      <c r="AC25" s="461"/>
      <c r="AD25" s="462"/>
      <c r="AE25" s="462"/>
      <c r="AF25" s="463"/>
      <c r="AG25" s="65"/>
      <c r="AH25" s="444"/>
      <c r="AI25" s="445"/>
      <c r="AJ25" s="444"/>
      <c r="AK25" s="445"/>
      <c r="AL25" s="444"/>
      <c r="AM25" s="446"/>
      <c r="AN25" s="444"/>
      <c r="AO25" s="446"/>
      <c r="AP25" s="444"/>
      <c r="AQ25" s="446"/>
      <c r="AR25" s="444"/>
      <c r="AS25" s="445"/>
      <c r="AT25" s="88"/>
      <c r="AU25" s="65"/>
      <c r="AV25" s="66"/>
      <c r="AW25" s="434"/>
      <c r="AX25" s="434"/>
      <c r="AY25" s="434"/>
      <c r="AZ25" s="434"/>
      <c r="BA25" s="435"/>
      <c r="BB25" s="67"/>
      <c r="BF25" s="66"/>
    </row>
    <row r="26" spans="1:58" s="64" customFormat="1" ht="7.5" customHeight="1" x14ac:dyDescent="0.2">
      <c r="A26" s="482"/>
      <c r="B26" s="419"/>
      <c r="C26" s="419"/>
      <c r="D26" s="419"/>
      <c r="E26" s="419"/>
      <c r="F26" s="419"/>
      <c r="G26" s="479"/>
      <c r="H26" s="415"/>
      <c r="I26" s="419"/>
      <c r="J26" s="419"/>
      <c r="K26" s="479"/>
      <c r="L26" s="479"/>
      <c r="M26" s="479"/>
      <c r="N26" s="479"/>
      <c r="O26" s="415"/>
      <c r="P26" s="426"/>
      <c r="Q26" s="427"/>
      <c r="R26" s="457"/>
      <c r="S26" s="457"/>
      <c r="T26" s="424"/>
      <c r="U26" s="425"/>
      <c r="V26" s="509"/>
      <c r="W26" s="509"/>
      <c r="X26" s="425"/>
      <c r="Y26" s="454"/>
      <c r="Z26" s="510"/>
      <c r="AA26" s="511"/>
      <c r="AB26" s="512"/>
      <c r="AC26" s="461"/>
      <c r="AD26" s="462"/>
      <c r="AE26" s="462"/>
      <c r="AF26" s="463"/>
      <c r="AG26" s="65"/>
      <c r="AH26" s="444"/>
      <c r="AI26" s="445"/>
      <c r="AJ26" s="444"/>
      <c r="AK26" s="445"/>
      <c r="AL26" s="444"/>
      <c r="AM26" s="446"/>
      <c r="AN26" s="444"/>
      <c r="AO26" s="446"/>
      <c r="AP26" s="444"/>
      <c r="AQ26" s="446"/>
      <c r="AR26" s="444"/>
      <c r="AS26" s="445"/>
      <c r="AT26" s="66"/>
      <c r="AU26" s="65"/>
      <c r="AV26" s="66"/>
      <c r="AW26" s="434"/>
      <c r="AX26" s="434"/>
      <c r="AY26" s="434"/>
      <c r="AZ26" s="434"/>
      <c r="BA26" s="435"/>
      <c r="BB26" s="67"/>
      <c r="BF26" s="66"/>
    </row>
    <row r="27" spans="1:58" s="64" customFormat="1" ht="7.5" customHeight="1" x14ac:dyDescent="0.2">
      <c r="A27" s="483"/>
      <c r="B27" s="419"/>
      <c r="C27" s="419"/>
      <c r="D27" s="419"/>
      <c r="E27" s="419"/>
      <c r="F27" s="419"/>
      <c r="G27" s="479"/>
      <c r="H27" s="415"/>
      <c r="I27" s="419"/>
      <c r="J27" s="419"/>
      <c r="K27" s="479"/>
      <c r="L27" s="479"/>
      <c r="M27" s="479"/>
      <c r="N27" s="479"/>
      <c r="O27" s="415"/>
      <c r="P27" s="506"/>
      <c r="Q27" s="507"/>
      <c r="R27" s="508"/>
      <c r="S27" s="508"/>
      <c r="T27" s="424"/>
      <c r="U27" s="425"/>
      <c r="V27" s="425" t="str">
        <f>'Header Info'!B13</f>
        <v>44.21 м</v>
      </c>
      <c r="W27" s="425"/>
      <c r="X27" s="425"/>
      <c r="Y27" s="454"/>
      <c r="Z27" s="510"/>
      <c r="AA27" s="511"/>
      <c r="AB27" s="512"/>
      <c r="AC27" s="461"/>
      <c r="AD27" s="462"/>
      <c r="AE27" s="462"/>
      <c r="AF27" s="463"/>
      <c r="AG27" s="65"/>
      <c r="AH27" s="444"/>
      <c r="AI27" s="445"/>
      <c r="AJ27" s="444"/>
      <c r="AK27" s="445"/>
      <c r="AL27" s="444"/>
      <c r="AM27" s="446"/>
      <c r="AN27" s="444"/>
      <c r="AO27" s="446"/>
      <c r="AP27" s="444"/>
      <c r="AQ27" s="446"/>
      <c r="AR27" s="444"/>
      <c r="AS27" s="445"/>
      <c r="AT27" s="66"/>
      <c r="AU27" s="65"/>
      <c r="AV27" s="66"/>
      <c r="AW27" s="434"/>
      <c r="AX27" s="434"/>
      <c r="AY27" s="434"/>
      <c r="AZ27" s="434"/>
      <c r="BA27" s="435"/>
      <c r="BB27" s="67"/>
      <c r="BF27" s="66"/>
    </row>
    <row r="28" spans="1:58" s="64" customFormat="1" ht="7.5" customHeight="1" x14ac:dyDescent="0.2">
      <c r="A28" s="421" t="s">
        <v>77</v>
      </c>
      <c r="B28" s="423" t="str">
        <f>IF('Header Info'!D42="","",'Header Info'!D42)</f>
        <v/>
      </c>
      <c r="C28" s="423" t="str">
        <f>IF('Header Info'!D41="","",'Header Info'!D41)</f>
        <v/>
      </c>
      <c r="D28" s="423" t="str">
        <f>IF('Header Info'!D40="","",'Header Info'!D40)</f>
        <v>Биополимерный KCL</v>
      </c>
      <c r="E28" s="423" t="str">
        <f>IF('Header Info'!D39="","",'Header Info'!D39)</f>
        <v>Биополимерный KCL</v>
      </c>
      <c r="F28" s="423" t="str">
        <f>IF('Header Info'!D38="","",'Header Info'!D38)</f>
        <v>Биополимерный KCL</v>
      </c>
      <c r="G28" s="414" t="s">
        <v>49</v>
      </c>
      <c r="H28" s="414" t="s">
        <v>46</v>
      </c>
      <c r="I28" s="423" t="str">
        <f>IF('Header Info'!D31="","",'Header Info'!D31)</f>
        <v/>
      </c>
      <c r="J28" s="431" t="str">
        <f>IF('Header Info'!D30="","",'Header Info'!D30)</f>
        <v/>
      </c>
      <c r="K28" s="431" t="str">
        <f>IF('Header Info'!D29="","",'Header Info'!D29)</f>
        <v/>
      </c>
      <c r="L28" s="431" t="str">
        <f>IF('Header Info'!D28="","",'Header Info'!D28)</f>
        <v>178.0 мм</v>
      </c>
      <c r="M28" s="431" t="str">
        <f>IF('Header Info'!D27="","",'Header Info'!D27)</f>
        <v>245.0 мм</v>
      </c>
      <c r="N28" s="414" t="s">
        <v>43</v>
      </c>
      <c r="O28" s="414" t="s">
        <v>39</v>
      </c>
      <c r="P28" s="89"/>
      <c r="Q28" s="90"/>
      <c r="R28" s="91"/>
      <c r="S28" s="91"/>
      <c r="T28" s="424"/>
      <c r="U28" s="425"/>
      <c r="V28" s="425"/>
      <c r="W28" s="425"/>
      <c r="X28" s="425"/>
      <c r="Y28" s="454"/>
      <c r="Z28" s="510"/>
      <c r="AA28" s="511"/>
      <c r="AB28" s="512"/>
      <c r="AC28" s="461"/>
      <c r="AD28" s="462"/>
      <c r="AE28" s="462"/>
      <c r="AF28" s="463"/>
      <c r="AG28" s="65"/>
      <c r="AH28" s="444"/>
      <c r="AI28" s="445"/>
      <c r="AJ28" s="444"/>
      <c r="AK28" s="445"/>
      <c r="AL28" s="444"/>
      <c r="AM28" s="446"/>
      <c r="AN28" s="444"/>
      <c r="AO28" s="446"/>
      <c r="AP28" s="444"/>
      <c r="AQ28" s="446"/>
      <c r="AR28" s="444"/>
      <c r="AS28" s="445"/>
      <c r="AT28" s="66"/>
      <c r="AU28" s="65"/>
      <c r="AV28" s="66"/>
      <c r="AW28" s="434"/>
      <c r="AX28" s="434"/>
      <c r="AY28" s="434"/>
      <c r="AZ28" s="434"/>
      <c r="BA28" s="435"/>
      <c r="BB28" s="67"/>
      <c r="BF28" s="66"/>
    </row>
    <row r="29" spans="1:58" s="64" customFormat="1" ht="7.5" customHeight="1" x14ac:dyDescent="0.2">
      <c r="A29" s="422"/>
      <c r="B29" s="419"/>
      <c r="C29" s="419"/>
      <c r="D29" s="419"/>
      <c r="E29" s="419"/>
      <c r="F29" s="419"/>
      <c r="G29" s="415"/>
      <c r="H29" s="415"/>
      <c r="I29" s="423"/>
      <c r="J29" s="415"/>
      <c r="K29" s="415"/>
      <c r="L29" s="415"/>
      <c r="M29" s="415"/>
      <c r="N29" s="415"/>
      <c r="O29" s="415"/>
      <c r="P29" s="424" t="s">
        <v>78</v>
      </c>
      <c r="Q29" s="425"/>
      <c r="R29" s="425" t="s">
        <v>37</v>
      </c>
      <c r="S29" s="425"/>
      <c r="T29" s="424" t="s">
        <v>79</v>
      </c>
      <c r="U29" s="425"/>
      <c r="V29" s="425"/>
      <c r="W29" s="425"/>
      <c r="X29" s="425"/>
      <c r="Y29" s="454"/>
      <c r="Z29" s="510"/>
      <c r="AA29" s="511"/>
      <c r="AB29" s="512"/>
      <c r="AC29" s="461"/>
      <c r="AD29" s="462"/>
      <c r="AE29" s="462"/>
      <c r="AF29" s="463"/>
      <c r="AG29" s="65"/>
      <c r="AH29" s="444"/>
      <c r="AI29" s="445"/>
      <c r="AJ29" s="444"/>
      <c r="AK29" s="445"/>
      <c r="AL29" s="444"/>
      <c r="AM29" s="446"/>
      <c r="AN29" s="444"/>
      <c r="AO29" s="446"/>
      <c r="AP29" s="444"/>
      <c r="AQ29" s="446"/>
      <c r="AR29" s="444"/>
      <c r="AS29" s="445"/>
      <c r="AT29" s="66"/>
      <c r="AU29" s="65"/>
      <c r="AV29" s="66"/>
      <c r="AW29" s="434"/>
      <c r="AX29" s="434"/>
      <c r="AY29" s="434"/>
      <c r="AZ29" s="434"/>
      <c r="BA29" s="435"/>
      <c r="BB29" s="67"/>
    </row>
    <row r="30" spans="1:58" s="64" customFormat="1" ht="7.5" customHeight="1" x14ac:dyDescent="0.2">
      <c r="A30" s="422"/>
      <c r="B30" s="419"/>
      <c r="C30" s="419"/>
      <c r="D30" s="419"/>
      <c r="E30" s="419"/>
      <c r="F30" s="419"/>
      <c r="G30" s="415"/>
      <c r="H30" s="415"/>
      <c r="I30" s="423"/>
      <c r="J30" s="415"/>
      <c r="K30" s="415"/>
      <c r="L30" s="415"/>
      <c r="M30" s="415"/>
      <c r="N30" s="415"/>
      <c r="O30" s="415"/>
      <c r="P30" s="424"/>
      <c r="Q30" s="425"/>
      <c r="R30" s="425"/>
      <c r="S30" s="425"/>
      <c r="T30" s="424"/>
      <c r="U30" s="425"/>
      <c r="V30" s="425"/>
      <c r="W30" s="425"/>
      <c r="X30" s="425"/>
      <c r="Y30" s="454"/>
      <c r="Z30" s="510"/>
      <c r="AA30" s="511"/>
      <c r="AB30" s="512"/>
      <c r="AC30" s="461"/>
      <c r="AD30" s="462"/>
      <c r="AE30" s="462"/>
      <c r="AF30" s="463"/>
      <c r="AG30" s="65"/>
      <c r="AH30" s="444"/>
      <c r="AI30" s="445"/>
      <c r="AJ30" s="444"/>
      <c r="AK30" s="445"/>
      <c r="AL30" s="444"/>
      <c r="AM30" s="446"/>
      <c r="AN30" s="444"/>
      <c r="AO30" s="446"/>
      <c r="AP30" s="444"/>
      <c r="AQ30" s="446"/>
      <c r="AR30" s="444"/>
      <c r="AS30" s="445"/>
      <c r="AT30" s="66"/>
      <c r="AU30" s="65"/>
      <c r="AV30" s="66"/>
      <c r="AW30" s="434"/>
      <c r="AX30" s="434"/>
      <c r="AY30" s="434"/>
      <c r="AZ30" s="434"/>
      <c r="BA30" s="435"/>
      <c r="BB30" s="67"/>
    </row>
    <row r="31" spans="1:58" s="64" customFormat="1" ht="7.5" customHeight="1" x14ac:dyDescent="0.2">
      <c r="A31" s="422"/>
      <c r="B31" s="419"/>
      <c r="C31" s="419"/>
      <c r="D31" s="419"/>
      <c r="E31" s="419"/>
      <c r="F31" s="419"/>
      <c r="G31" s="415"/>
      <c r="H31" s="415"/>
      <c r="I31" s="423"/>
      <c r="J31" s="415"/>
      <c r="K31" s="415"/>
      <c r="L31" s="415"/>
      <c r="M31" s="415"/>
      <c r="N31" s="415"/>
      <c r="O31" s="415"/>
      <c r="P31" s="424"/>
      <c r="Q31" s="425"/>
      <c r="R31" s="425"/>
      <c r="S31" s="425"/>
      <c r="T31" s="424"/>
      <c r="U31" s="425"/>
      <c r="V31" s="425"/>
      <c r="W31" s="425"/>
      <c r="X31" s="425"/>
      <c r="Y31" s="454"/>
      <c r="Z31" s="510"/>
      <c r="AA31" s="511"/>
      <c r="AB31" s="512"/>
      <c r="AC31" s="461"/>
      <c r="AD31" s="462"/>
      <c r="AE31" s="462"/>
      <c r="AF31" s="463"/>
      <c r="AG31" s="65"/>
      <c r="AH31" s="444"/>
      <c r="AI31" s="445"/>
      <c r="AJ31" s="444"/>
      <c r="AK31" s="445"/>
      <c r="AL31" s="444"/>
      <c r="AM31" s="446"/>
      <c r="AN31" s="444"/>
      <c r="AO31" s="446"/>
      <c r="AP31" s="444"/>
      <c r="AQ31" s="446"/>
      <c r="AR31" s="444"/>
      <c r="AS31" s="445"/>
      <c r="AT31" s="66"/>
      <c r="AU31" s="65"/>
      <c r="AV31" s="66"/>
      <c r="AW31" s="434"/>
      <c r="AX31" s="434"/>
      <c r="AY31" s="434"/>
      <c r="AZ31" s="434"/>
      <c r="BA31" s="435"/>
      <c r="BB31" s="67"/>
    </row>
    <row r="32" spans="1:58" s="64" customFormat="1" ht="7.5" customHeight="1" x14ac:dyDescent="0.2">
      <c r="A32" s="422"/>
      <c r="B32" s="419"/>
      <c r="C32" s="419"/>
      <c r="D32" s="419"/>
      <c r="E32" s="419"/>
      <c r="F32" s="419"/>
      <c r="G32" s="415"/>
      <c r="H32" s="415"/>
      <c r="I32" s="423"/>
      <c r="J32" s="415"/>
      <c r="K32" s="415"/>
      <c r="L32" s="415"/>
      <c r="M32" s="415"/>
      <c r="N32" s="415"/>
      <c r="O32" s="415"/>
      <c r="P32" s="424"/>
      <c r="Q32" s="425"/>
      <c r="R32" s="425"/>
      <c r="S32" s="425"/>
      <c r="T32" s="424"/>
      <c r="U32" s="425"/>
      <c r="V32" s="425"/>
      <c r="W32" s="425"/>
      <c r="X32" s="425"/>
      <c r="Y32" s="454"/>
      <c r="Z32" s="510"/>
      <c r="AA32" s="511"/>
      <c r="AB32" s="512"/>
      <c r="AC32" s="461"/>
      <c r="AD32" s="462"/>
      <c r="AE32" s="462"/>
      <c r="AF32" s="463"/>
      <c r="AG32" s="65"/>
      <c r="AH32" s="444"/>
      <c r="AI32" s="445"/>
      <c r="AJ32" s="444"/>
      <c r="AK32" s="445"/>
      <c r="AL32" s="444"/>
      <c r="AM32" s="446"/>
      <c r="AN32" s="444"/>
      <c r="AO32" s="446"/>
      <c r="AP32" s="444"/>
      <c r="AQ32" s="446"/>
      <c r="AR32" s="444"/>
      <c r="AS32" s="445"/>
      <c r="AT32" s="66"/>
      <c r="AU32" s="65"/>
      <c r="AV32" s="66"/>
      <c r="AW32" s="434"/>
      <c r="AX32" s="434"/>
      <c r="AY32" s="434"/>
      <c r="AZ32" s="434"/>
      <c r="BA32" s="435"/>
      <c r="BB32" s="67"/>
    </row>
    <row r="33" spans="1:56" s="64" customFormat="1" ht="7.5" customHeight="1" x14ac:dyDescent="0.2">
      <c r="A33" s="422"/>
      <c r="B33" s="419"/>
      <c r="C33" s="419"/>
      <c r="D33" s="419"/>
      <c r="E33" s="419"/>
      <c r="F33" s="419"/>
      <c r="G33" s="415"/>
      <c r="H33" s="415"/>
      <c r="I33" s="423"/>
      <c r="J33" s="415"/>
      <c r="K33" s="415"/>
      <c r="L33" s="415"/>
      <c r="M33" s="415"/>
      <c r="N33" s="415"/>
      <c r="O33" s="415"/>
      <c r="P33" s="424"/>
      <c r="Q33" s="425"/>
      <c r="R33" s="425"/>
      <c r="S33" s="425"/>
      <c r="T33" s="424"/>
      <c r="U33" s="425"/>
      <c r="V33" s="425" t="s">
        <v>22</v>
      </c>
      <c r="W33" s="425"/>
      <c r="X33" s="92"/>
      <c r="Y33" s="93"/>
      <c r="Z33" s="510"/>
      <c r="AA33" s="511"/>
      <c r="AB33" s="512"/>
      <c r="AC33" s="436" t="s">
        <v>80</v>
      </c>
      <c r="AD33" s="437"/>
      <c r="AE33" s="437" t="s">
        <v>81</v>
      </c>
      <c r="AF33" s="438"/>
      <c r="AG33" s="65"/>
      <c r="AH33" s="444"/>
      <c r="AI33" s="445"/>
      <c r="AJ33" s="444"/>
      <c r="AK33" s="445"/>
      <c r="AL33" s="444"/>
      <c r="AM33" s="446"/>
      <c r="AN33" s="444"/>
      <c r="AO33" s="446"/>
      <c r="AP33" s="444"/>
      <c r="AQ33" s="446"/>
      <c r="AR33" s="444"/>
      <c r="AS33" s="445"/>
      <c r="AT33" s="66"/>
      <c r="AU33" s="65"/>
      <c r="AV33" s="66"/>
      <c r="AW33" s="434"/>
      <c r="AX33" s="434"/>
      <c r="AY33" s="434"/>
      <c r="AZ33" s="434"/>
      <c r="BA33" s="435"/>
      <c r="BB33" s="67"/>
    </row>
    <row r="34" spans="1:56" s="64" customFormat="1" ht="7.5" customHeight="1" x14ac:dyDescent="0.2">
      <c r="A34" s="422"/>
      <c r="B34" s="419"/>
      <c r="C34" s="419"/>
      <c r="D34" s="419"/>
      <c r="E34" s="419"/>
      <c r="F34" s="419"/>
      <c r="G34" s="415"/>
      <c r="H34" s="415"/>
      <c r="I34" s="423"/>
      <c r="J34" s="415"/>
      <c r="K34" s="415"/>
      <c r="L34" s="415"/>
      <c r="M34" s="415"/>
      <c r="N34" s="415"/>
      <c r="O34" s="415"/>
      <c r="P34" s="424"/>
      <c r="Q34" s="425"/>
      <c r="R34" s="425"/>
      <c r="S34" s="425"/>
      <c r="T34" s="424"/>
      <c r="U34" s="425"/>
      <c r="V34" s="425"/>
      <c r="W34" s="425"/>
      <c r="X34" s="92"/>
      <c r="Y34" s="93"/>
      <c r="Z34" s="510"/>
      <c r="AA34" s="511"/>
      <c r="AB34" s="512"/>
      <c r="AC34" s="436"/>
      <c r="AD34" s="437"/>
      <c r="AE34" s="437"/>
      <c r="AF34" s="438"/>
      <c r="AG34" s="65"/>
      <c r="AH34" s="444"/>
      <c r="AI34" s="445"/>
      <c r="AJ34" s="444"/>
      <c r="AK34" s="445"/>
      <c r="AL34" s="444"/>
      <c r="AM34" s="446"/>
      <c r="AN34" s="444"/>
      <c r="AO34" s="446"/>
      <c r="AP34" s="444"/>
      <c r="AQ34" s="446"/>
      <c r="AR34" s="444"/>
      <c r="AS34" s="445"/>
      <c r="AT34" s="66"/>
      <c r="AU34" s="65"/>
      <c r="AV34" s="66"/>
      <c r="AW34" s="434"/>
      <c r="AX34" s="434"/>
      <c r="AY34" s="434"/>
      <c r="AZ34" s="434"/>
      <c r="BA34" s="435"/>
      <c r="BB34" s="67"/>
    </row>
    <row r="35" spans="1:56" s="64" customFormat="1" ht="7.5" customHeight="1" x14ac:dyDescent="0.2">
      <c r="A35" s="422"/>
      <c r="B35" s="419"/>
      <c r="C35" s="419"/>
      <c r="D35" s="419"/>
      <c r="E35" s="419"/>
      <c r="F35" s="419"/>
      <c r="G35" s="415"/>
      <c r="H35" s="415"/>
      <c r="I35" s="423"/>
      <c r="J35" s="415"/>
      <c r="K35" s="415"/>
      <c r="L35" s="415"/>
      <c r="M35" s="415"/>
      <c r="N35" s="415"/>
      <c r="O35" s="415"/>
      <c r="P35" s="424"/>
      <c r="Q35" s="425"/>
      <c r="R35" s="425"/>
      <c r="S35" s="425"/>
      <c r="T35" s="424"/>
      <c r="U35" s="425"/>
      <c r="V35" s="425"/>
      <c r="W35" s="425"/>
      <c r="X35" s="66"/>
      <c r="Y35" s="67"/>
      <c r="Z35" s="510"/>
      <c r="AA35" s="511"/>
      <c r="AB35" s="512"/>
      <c r="AC35" s="439">
        <f>'Header Info'!E4</f>
        <v>0</v>
      </c>
      <c r="AD35" s="440"/>
      <c r="AE35" s="464">
        <f>'Header Info'!E5</f>
        <v>0</v>
      </c>
      <c r="AF35" s="465"/>
      <c r="AG35" s="65"/>
      <c r="AH35" s="444"/>
      <c r="AI35" s="445"/>
      <c r="AJ35" s="444"/>
      <c r="AK35" s="445"/>
      <c r="AL35" s="444"/>
      <c r="AM35" s="446"/>
      <c r="AN35" s="444"/>
      <c r="AO35" s="446"/>
      <c r="AP35" s="444"/>
      <c r="AQ35" s="446"/>
      <c r="AR35" s="444"/>
      <c r="AS35" s="445"/>
      <c r="AT35" s="66"/>
      <c r="AU35" s="65"/>
      <c r="AV35" s="66"/>
      <c r="AW35" s="434"/>
      <c r="AX35" s="434"/>
      <c r="AY35" s="434"/>
      <c r="AZ35" s="434"/>
      <c r="BA35" s="435"/>
      <c r="BB35" s="67"/>
    </row>
    <row r="36" spans="1:56" s="64" customFormat="1" ht="7.5" customHeight="1" x14ac:dyDescent="0.2">
      <c r="A36" s="422"/>
      <c r="B36" s="432" t="str">
        <f>IF('Header Info'!E42="","",'Header Info'!E42)</f>
        <v/>
      </c>
      <c r="C36" s="432" t="str">
        <f>IF('Header Info'!E41="","",'Header Info'!E41)</f>
        <v/>
      </c>
      <c r="D36" s="432">
        <f>IF('Header Info'!E40="","",'Header Info'!E40)</f>
        <v>1.1200000000000001</v>
      </c>
      <c r="E36" s="432">
        <f>IF('Header Info'!E39="","",'Header Info'!E39)</f>
        <v>1.24</v>
      </c>
      <c r="F36" s="432">
        <f>IF('Header Info'!E38="","",'Header Info'!E38)</f>
        <v>1.1299999999999999</v>
      </c>
      <c r="G36" s="414" t="s">
        <v>82</v>
      </c>
      <c r="H36" s="415"/>
      <c r="I36" s="414" t="str">
        <f>IF('Header Info'!E31="","",'Header Info'!E31)</f>
        <v/>
      </c>
      <c r="J36" s="414" t="str">
        <f>IF('Header Info'!E30="","",'Header Info'!E30)</f>
        <v/>
      </c>
      <c r="K36" s="414" t="str">
        <f>IF('Header Info'!E29="","",'Header Info'!E29)</f>
        <v/>
      </c>
      <c r="L36" s="414" t="str">
        <f>IF('Header Info'!E28="","",'Header Info'!E28)</f>
        <v>-</v>
      </c>
      <c r="M36" s="414" t="str">
        <f>IF('Header Info'!E27="","",'Header Info'!E27)</f>
        <v>-</v>
      </c>
      <c r="N36" s="414" t="s">
        <v>44</v>
      </c>
      <c r="O36" s="415"/>
      <c r="P36" s="424"/>
      <c r="Q36" s="425"/>
      <c r="R36" s="425"/>
      <c r="S36" s="425"/>
      <c r="T36" s="424"/>
      <c r="U36" s="425"/>
      <c r="V36" s="425"/>
      <c r="W36" s="425"/>
      <c r="X36" s="66"/>
      <c r="Y36" s="67"/>
      <c r="Z36" s="510"/>
      <c r="AA36" s="511"/>
      <c r="AB36" s="512"/>
      <c r="AC36" s="441"/>
      <c r="AD36" s="440"/>
      <c r="AE36" s="440"/>
      <c r="AF36" s="465"/>
      <c r="AG36" s="65"/>
      <c r="AH36" s="444"/>
      <c r="AI36" s="445"/>
      <c r="AJ36" s="444"/>
      <c r="AK36" s="445"/>
      <c r="AL36" s="444"/>
      <c r="AM36" s="446"/>
      <c r="AN36" s="444"/>
      <c r="AO36" s="446"/>
      <c r="AP36" s="444"/>
      <c r="AQ36" s="446"/>
      <c r="AR36" s="444"/>
      <c r="AS36" s="445"/>
      <c r="AT36" s="66"/>
      <c r="AU36" s="65"/>
      <c r="AV36" s="66"/>
      <c r="AW36" s="434"/>
      <c r="AX36" s="434"/>
      <c r="AY36" s="434"/>
      <c r="AZ36" s="434"/>
      <c r="BA36" s="435"/>
      <c r="BB36" s="67"/>
    </row>
    <row r="37" spans="1:56" s="64" customFormat="1" ht="7.5" customHeight="1" x14ac:dyDescent="0.2">
      <c r="A37" s="422"/>
      <c r="B37" s="433"/>
      <c r="C37" s="433"/>
      <c r="D37" s="433"/>
      <c r="E37" s="433"/>
      <c r="F37" s="433"/>
      <c r="G37" s="414"/>
      <c r="H37" s="415"/>
      <c r="I37" s="414"/>
      <c r="J37" s="414"/>
      <c r="K37" s="414"/>
      <c r="L37" s="414"/>
      <c r="M37" s="414"/>
      <c r="N37" s="414"/>
      <c r="O37" s="415"/>
      <c r="P37" s="426">
        <f>'Header Info'!B23</f>
        <v>44669</v>
      </c>
      <c r="Q37" s="427"/>
      <c r="R37" s="430">
        <f>'Header Info'!B22</f>
        <v>1</v>
      </c>
      <c r="S37" s="430"/>
      <c r="T37" s="467" t="str">
        <f>'Header Info'!B16</f>
        <v>2520.00 м</v>
      </c>
      <c r="U37" s="457"/>
      <c r="V37" s="425"/>
      <c r="W37" s="425"/>
      <c r="X37" s="82"/>
      <c r="Y37" s="94"/>
      <c r="Z37" s="510"/>
      <c r="AA37" s="511"/>
      <c r="AB37" s="512"/>
      <c r="AC37" s="441"/>
      <c r="AD37" s="440"/>
      <c r="AE37" s="440"/>
      <c r="AF37" s="465"/>
      <c r="AG37" s="65"/>
      <c r="AH37" s="444"/>
      <c r="AI37" s="445"/>
      <c r="AJ37" s="444"/>
      <c r="AK37" s="445"/>
      <c r="AL37" s="444"/>
      <c r="AM37" s="446"/>
      <c r="AN37" s="444"/>
      <c r="AO37" s="446"/>
      <c r="AP37" s="444"/>
      <c r="AQ37" s="446"/>
      <c r="AR37" s="444"/>
      <c r="AS37" s="445"/>
      <c r="AT37" s="66"/>
      <c r="AU37" s="65"/>
      <c r="AV37" s="66"/>
      <c r="AW37" s="434"/>
      <c r="AX37" s="434"/>
      <c r="AY37" s="434"/>
      <c r="AZ37" s="434"/>
      <c r="BA37" s="435"/>
      <c r="BB37" s="67"/>
    </row>
    <row r="38" spans="1:56" s="64" customFormat="1" ht="7.5" customHeight="1" x14ac:dyDescent="0.2">
      <c r="A38" s="422"/>
      <c r="B38" s="433"/>
      <c r="C38" s="433"/>
      <c r="D38" s="433"/>
      <c r="E38" s="433"/>
      <c r="F38" s="433"/>
      <c r="G38" s="414"/>
      <c r="H38" s="415"/>
      <c r="I38" s="414"/>
      <c r="J38" s="414"/>
      <c r="K38" s="414"/>
      <c r="L38" s="414"/>
      <c r="M38" s="414"/>
      <c r="N38" s="414"/>
      <c r="O38" s="415"/>
      <c r="P38" s="426"/>
      <c r="Q38" s="427"/>
      <c r="R38" s="430"/>
      <c r="S38" s="430"/>
      <c r="T38" s="467"/>
      <c r="U38" s="457"/>
      <c r="V38" s="425"/>
      <c r="W38" s="425"/>
      <c r="X38" s="82"/>
      <c r="Y38" s="94"/>
      <c r="Z38" s="510"/>
      <c r="AA38" s="511"/>
      <c r="AB38" s="512"/>
      <c r="AC38" s="441"/>
      <c r="AD38" s="440"/>
      <c r="AE38" s="440"/>
      <c r="AF38" s="465"/>
      <c r="AG38" s="65"/>
      <c r="AH38" s="444"/>
      <c r="AI38" s="445"/>
      <c r="AJ38" s="444"/>
      <c r="AK38" s="445"/>
      <c r="AL38" s="444"/>
      <c r="AM38" s="446"/>
      <c r="AN38" s="444"/>
      <c r="AO38" s="446"/>
      <c r="AP38" s="444"/>
      <c r="AQ38" s="446"/>
      <c r="AR38" s="444"/>
      <c r="AS38" s="445"/>
      <c r="AT38" s="66"/>
      <c r="AU38" s="65"/>
      <c r="AV38" s="66"/>
      <c r="AW38" s="434"/>
      <c r="AX38" s="434"/>
      <c r="AY38" s="434"/>
      <c r="AZ38" s="434"/>
      <c r="BA38" s="435"/>
      <c r="BB38" s="67"/>
    </row>
    <row r="39" spans="1:56" s="64" customFormat="1" ht="7.5" customHeight="1" x14ac:dyDescent="0.2">
      <c r="A39" s="422"/>
      <c r="B39" s="433"/>
      <c r="C39" s="433"/>
      <c r="D39" s="433"/>
      <c r="E39" s="433"/>
      <c r="F39" s="433"/>
      <c r="G39" s="414"/>
      <c r="H39" s="415"/>
      <c r="I39" s="414"/>
      <c r="J39" s="414"/>
      <c r="K39" s="414"/>
      <c r="L39" s="414"/>
      <c r="M39" s="414"/>
      <c r="N39" s="414"/>
      <c r="O39" s="415"/>
      <c r="P39" s="426"/>
      <c r="Q39" s="427"/>
      <c r="R39" s="430"/>
      <c r="S39" s="430"/>
      <c r="T39" s="467"/>
      <c r="U39" s="457"/>
      <c r="V39" s="425"/>
      <c r="W39" s="425"/>
      <c r="X39" s="66"/>
      <c r="Y39" s="67"/>
      <c r="Z39" s="510"/>
      <c r="AA39" s="511"/>
      <c r="AB39" s="512"/>
      <c r="AC39" s="441"/>
      <c r="AD39" s="440"/>
      <c r="AE39" s="440"/>
      <c r="AF39" s="465"/>
      <c r="AG39" s="65"/>
      <c r="AH39" s="444"/>
      <c r="AI39" s="445"/>
      <c r="AJ39" s="444"/>
      <c r="AK39" s="445"/>
      <c r="AL39" s="444"/>
      <c r="AM39" s="446"/>
      <c r="AN39" s="444"/>
      <c r="AO39" s="446"/>
      <c r="AP39" s="444"/>
      <c r="AQ39" s="446"/>
      <c r="AR39" s="444"/>
      <c r="AS39" s="445"/>
      <c r="AT39" s="66"/>
      <c r="AU39" s="65"/>
      <c r="AV39" s="66"/>
      <c r="AW39" s="434"/>
      <c r="AX39" s="434"/>
      <c r="AY39" s="434"/>
      <c r="AZ39" s="434"/>
      <c r="BA39" s="435"/>
      <c r="BB39" s="67"/>
    </row>
    <row r="40" spans="1:56" s="64" customFormat="1" ht="7.5" customHeight="1" x14ac:dyDescent="0.2">
      <c r="A40" s="422"/>
      <c r="B40" s="433"/>
      <c r="C40" s="433"/>
      <c r="D40" s="433"/>
      <c r="E40" s="433"/>
      <c r="F40" s="433"/>
      <c r="G40" s="414"/>
      <c r="H40" s="415"/>
      <c r="I40" s="414"/>
      <c r="J40" s="414"/>
      <c r="K40" s="414"/>
      <c r="L40" s="414"/>
      <c r="M40" s="414"/>
      <c r="N40" s="414"/>
      <c r="O40" s="415"/>
      <c r="P40" s="426"/>
      <c r="Q40" s="427"/>
      <c r="R40" s="430"/>
      <c r="S40" s="430"/>
      <c r="T40" s="467"/>
      <c r="U40" s="457"/>
      <c r="V40" s="425"/>
      <c r="W40" s="425"/>
      <c r="X40" s="66"/>
      <c r="Y40" s="67"/>
      <c r="Z40" s="510"/>
      <c r="AA40" s="511"/>
      <c r="AB40" s="512"/>
      <c r="AC40" s="441"/>
      <c r="AD40" s="440"/>
      <c r="AE40" s="440"/>
      <c r="AF40" s="465"/>
      <c r="AG40" s="65"/>
      <c r="AH40" s="444"/>
      <c r="AI40" s="445"/>
      <c r="AJ40" s="444"/>
      <c r="AK40" s="445"/>
      <c r="AL40" s="444"/>
      <c r="AM40" s="446"/>
      <c r="AN40" s="444"/>
      <c r="AO40" s="446"/>
      <c r="AP40" s="444"/>
      <c r="AQ40" s="446"/>
      <c r="AR40" s="444"/>
      <c r="AS40" s="445"/>
      <c r="AT40" s="66"/>
      <c r="AU40" s="65"/>
      <c r="AV40" s="66"/>
      <c r="AW40" s="434"/>
      <c r="AX40" s="434"/>
      <c r="AY40" s="434"/>
      <c r="AZ40" s="434"/>
      <c r="BA40" s="435"/>
      <c r="BB40" s="67"/>
    </row>
    <row r="41" spans="1:56" s="64" customFormat="1" ht="7.5" customHeight="1" x14ac:dyDescent="0.2">
      <c r="A41" s="422"/>
      <c r="B41" s="433"/>
      <c r="C41" s="433"/>
      <c r="D41" s="433"/>
      <c r="E41" s="433"/>
      <c r="F41" s="433"/>
      <c r="G41" s="414"/>
      <c r="H41" s="415"/>
      <c r="I41" s="414"/>
      <c r="J41" s="414"/>
      <c r="K41" s="414"/>
      <c r="L41" s="414"/>
      <c r="M41" s="414"/>
      <c r="N41" s="414"/>
      <c r="O41" s="415"/>
      <c r="P41" s="426"/>
      <c r="Q41" s="427"/>
      <c r="R41" s="430"/>
      <c r="S41" s="430"/>
      <c r="T41" s="467"/>
      <c r="U41" s="457"/>
      <c r="V41" s="425"/>
      <c r="W41" s="425"/>
      <c r="X41" s="66"/>
      <c r="Y41" s="67"/>
      <c r="Z41" s="510"/>
      <c r="AA41" s="511"/>
      <c r="AB41" s="512"/>
      <c r="AC41" s="441"/>
      <c r="AD41" s="440"/>
      <c r="AE41" s="440"/>
      <c r="AF41" s="465"/>
      <c r="AG41" s="65"/>
      <c r="AH41" s="444"/>
      <c r="AI41" s="445"/>
      <c r="AJ41" s="444"/>
      <c r="AK41" s="445"/>
      <c r="AL41" s="444"/>
      <c r="AM41" s="446"/>
      <c r="AN41" s="444"/>
      <c r="AO41" s="446"/>
      <c r="AP41" s="444"/>
      <c r="AQ41" s="446"/>
      <c r="AR41" s="444"/>
      <c r="AS41" s="445"/>
      <c r="AT41" s="66"/>
      <c r="AU41" s="65"/>
      <c r="AV41" s="66"/>
      <c r="AW41" s="434"/>
      <c r="AX41" s="434"/>
      <c r="AY41" s="434"/>
      <c r="AZ41" s="434"/>
      <c r="BA41" s="435"/>
      <c r="BB41" s="67"/>
    </row>
    <row r="42" spans="1:56" s="64" customFormat="1" ht="7.5" customHeight="1" x14ac:dyDescent="0.2">
      <c r="A42" s="422"/>
      <c r="B42" s="433"/>
      <c r="C42" s="433"/>
      <c r="D42" s="433"/>
      <c r="E42" s="433"/>
      <c r="F42" s="433"/>
      <c r="G42" s="414"/>
      <c r="H42" s="415"/>
      <c r="I42" s="414"/>
      <c r="J42" s="414"/>
      <c r="K42" s="414"/>
      <c r="L42" s="414"/>
      <c r="M42" s="414"/>
      <c r="N42" s="414"/>
      <c r="O42" s="415"/>
      <c r="P42" s="426"/>
      <c r="Q42" s="427"/>
      <c r="R42" s="430"/>
      <c r="S42" s="430"/>
      <c r="T42" s="467"/>
      <c r="U42" s="457"/>
      <c r="V42" s="425"/>
      <c r="W42" s="425"/>
      <c r="X42" s="66"/>
      <c r="Y42" s="67"/>
      <c r="Z42" s="510"/>
      <c r="AA42" s="511"/>
      <c r="AB42" s="512"/>
      <c r="AC42" s="441"/>
      <c r="AD42" s="440"/>
      <c r="AE42" s="440"/>
      <c r="AF42" s="465"/>
      <c r="AG42" s="65"/>
      <c r="AH42" s="444"/>
      <c r="AI42" s="445"/>
      <c r="AJ42" s="444"/>
      <c r="AK42" s="445"/>
      <c r="AL42" s="444"/>
      <c r="AM42" s="446"/>
      <c r="AN42" s="444"/>
      <c r="AO42" s="446"/>
      <c r="AP42" s="444"/>
      <c r="AQ42" s="446"/>
      <c r="AR42" s="444"/>
      <c r="AS42" s="445"/>
      <c r="AT42" s="66"/>
      <c r="AU42" s="65"/>
      <c r="AV42" s="66"/>
      <c r="AW42" s="434"/>
      <c r="AX42" s="434"/>
      <c r="AY42" s="434"/>
      <c r="AZ42" s="434"/>
      <c r="BA42" s="435"/>
      <c r="BB42" s="67"/>
    </row>
    <row r="43" spans="1:56" s="64" customFormat="1" ht="7.5" customHeight="1" x14ac:dyDescent="0.2">
      <c r="A43" s="422"/>
      <c r="B43" s="433"/>
      <c r="C43" s="433"/>
      <c r="D43" s="433"/>
      <c r="E43" s="433"/>
      <c r="F43" s="433"/>
      <c r="G43" s="414"/>
      <c r="H43" s="415"/>
      <c r="I43" s="414"/>
      <c r="J43" s="414"/>
      <c r="K43" s="414"/>
      <c r="L43" s="414"/>
      <c r="M43" s="414"/>
      <c r="N43" s="414"/>
      <c r="O43" s="415"/>
      <c r="P43" s="426"/>
      <c r="Q43" s="427"/>
      <c r="R43" s="430"/>
      <c r="S43" s="430"/>
      <c r="T43" s="467"/>
      <c r="U43" s="457"/>
      <c r="V43" s="425"/>
      <c r="W43" s="425"/>
      <c r="X43" s="66"/>
      <c r="Y43" s="67"/>
      <c r="Z43" s="510"/>
      <c r="AA43" s="511"/>
      <c r="AB43" s="512"/>
      <c r="AC43" s="441"/>
      <c r="AD43" s="440"/>
      <c r="AE43" s="440"/>
      <c r="AF43" s="465"/>
      <c r="AG43" s="65"/>
      <c r="AH43" s="444"/>
      <c r="AI43" s="445"/>
      <c r="AJ43" s="444"/>
      <c r="AK43" s="445"/>
      <c r="AL43" s="444"/>
      <c r="AM43" s="446"/>
      <c r="AN43" s="444"/>
      <c r="AO43" s="446"/>
      <c r="AP43" s="444"/>
      <c r="AQ43" s="446"/>
      <c r="AR43" s="444"/>
      <c r="AS43" s="445"/>
      <c r="AT43" s="66"/>
      <c r="AU43" s="65"/>
      <c r="AV43" s="66"/>
      <c r="AW43" s="434"/>
      <c r="AX43" s="434"/>
      <c r="AY43" s="434"/>
      <c r="AZ43" s="434"/>
      <c r="BA43" s="435"/>
      <c r="BB43" s="67"/>
    </row>
    <row r="44" spans="1:56" s="64" customFormat="1" ht="7.5" customHeight="1" x14ac:dyDescent="0.2">
      <c r="A44" s="422"/>
      <c r="B44" s="433"/>
      <c r="C44" s="433"/>
      <c r="D44" s="433"/>
      <c r="E44" s="433"/>
      <c r="F44" s="433"/>
      <c r="G44" s="414"/>
      <c r="H44" s="415"/>
      <c r="I44" s="414"/>
      <c r="J44" s="414"/>
      <c r="K44" s="414"/>
      <c r="L44" s="414"/>
      <c r="M44" s="414"/>
      <c r="N44" s="414"/>
      <c r="O44" s="415"/>
      <c r="P44" s="428"/>
      <c r="Q44" s="429"/>
      <c r="R44" s="430"/>
      <c r="S44" s="430"/>
      <c r="T44" s="467"/>
      <c r="U44" s="457"/>
      <c r="V44" s="425"/>
      <c r="W44" s="425"/>
      <c r="X44" s="66"/>
      <c r="Y44" s="67"/>
      <c r="Z44" s="510"/>
      <c r="AA44" s="511"/>
      <c r="AB44" s="512"/>
      <c r="AC44" s="442"/>
      <c r="AD44" s="443"/>
      <c r="AE44" s="443"/>
      <c r="AF44" s="466"/>
      <c r="AG44" s="65"/>
      <c r="AH44" s="444"/>
      <c r="AI44" s="445"/>
      <c r="AJ44" s="444"/>
      <c r="AK44" s="445"/>
      <c r="AL44" s="444"/>
      <c r="AM44" s="446"/>
      <c r="AN44" s="444"/>
      <c r="AO44" s="446"/>
      <c r="AP44" s="444"/>
      <c r="AQ44" s="446"/>
      <c r="AR44" s="444"/>
      <c r="AS44" s="445"/>
      <c r="AT44" s="66"/>
      <c r="AU44" s="65"/>
      <c r="AV44" s="66"/>
      <c r="AW44" s="434"/>
      <c r="AX44" s="434"/>
      <c r="AY44" s="434"/>
      <c r="AZ44" s="434"/>
      <c r="BA44" s="435"/>
      <c r="BB44" s="67"/>
    </row>
    <row r="45" spans="1:56" s="64" customFormat="1" ht="7.5" customHeight="1" x14ac:dyDescent="0.2">
      <c r="A45" s="416" t="s">
        <v>83</v>
      </c>
      <c r="B45" s="418" t="str">
        <f>IF('Header Info'!F42="","",'Header Info'!F42)</f>
        <v/>
      </c>
      <c r="C45" s="418" t="str">
        <f>IF('Header Info'!F41="","",'Header Info'!F41)</f>
        <v/>
      </c>
      <c r="D45" s="418" t="str">
        <f>IF('Header Info'!F40="","",'Header Info'!F40)</f>
        <v>1144.0 м</v>
      </c>
      <c r="E45" s="418" t="str">
        <f>IF('Header Info'!F39="","",'Header Info'!F39)</f>
        <v>452.7 м</v>
      </c>
      <c r="F45" s="420" t="str">
        <f>IF('Header Info'!F38="","",'Header Info'!F38)</f>
        <v>0.0 м</v>
      </c>
      <c r="G45" s="418" t="s">
        <v>41</v>
      </c>
      <c r="H45" s="415"/>
      <c r="I45" s="418" t="str">
        <f>IF('Header Info'!F31="","",'Header Info'!F31)</f>
        <v/>
      </c>
      <c r="J45" s="418" t="str">
        <f>IF('Header Info'!F30="","",'Header Info'!F30)</f>
        <v/>
      </c>
      <c r="K45" s="418" t="str">
        <f>IF('Header Info'!F29="","",'Header Info'!F29)</f>
        <v/>
      </c>
      <c r="L45" s="418" t="str">
        <f>IF('Header Info'!F28="","",'Header Info'!F28)</f>
        <v>0.0 м</v>
      </c>
      <c r="M45" s="418" t="str">
        <f>IF('Header Info'!F27="","",'Header Info'!F27)</f>
        <v>0.0 м</v>
      </c>
      <c r="N45" s="418" t="s">
        <v>41</v>
      </c>
      <c r="O45" s="415"/>
      <c r="P45" s="447" t="s">
        <v>84</v>
      </c>
      <c r="Q45" s="448"/>
      <c r="R45" s="448"/>
      <c r="S45" s="448"/>
      <c r="T45" s="448"/>
      <c r="U45" s="448"/>
      <c r="V45" s="448"/>
      <c r="W45" s="448"/>
      <c r="X45" s="448"/>
      <c r="Y45" s="449"/>
      <c r="Z45" s="510"/>
      <c r="AA45" s="511"/>
      <c r="AB45" s="512"/>
      <c r="AC45" s="95"/>
      <c r="AD45" s="85"/>
      <c r="AE45" s="83"/>
      <c r="AF45" s="86"/>
      <c r="AG45" s="65"/>
      <c r="AH45" s="444"/>
      <c r="AI45" s="445"/>
      <c r="AJ45" s="444"/>
      <c r="AK45" s="445"/>
      <c r="AL45" s="444"/>
      <c r="AM45" s="446"/>
      <c r="AN45" s="444"/>
      <c r="AO45" s="446"/>
      <c r="AP45" s="444"/>
      <c r="AQ45" s="446"/>
      <c r="AR45" s="444"/>
      <c r="AS45" s="445"/>
      <c r="AT45" s="66"/>
      <c r="AU45" s="65"/>
      <c r="AV45" s="66"/>
      <c r="AW45" s="434"/>
      <c r="AX45" s="434"/>
      <c r="AY45" s="434"/>
      <c r="AZ45" s="434"/>
      <c r="BA45" s="435"/>
      <c r="BB45" s="67"/>
    </row>
    <row r="46" spans="1:56" s="64" customFormat="1" ht="7.5" customHeight="1" x14ac:dyDescent="0.2">
      <c r="A46" s="416"/>
      <c r="B46" s="419"/>
      <c r="C46" s="419"/>
      <c r="D46" s="419"/>
      <c r="E46" s="419"/>
      <c r="F46" s="419"/>
      <c r="G46" s="418"/>
      <c r="H46" s="415"/>
      <c r="I46" s="418"/>
      <c r="J46" s="418"/>
      <c r="K46" s="418"/>
      <c r="L46" s="418"/>
      <c r="M46" s="418"/>
      <c r="N46" s="418"/>
      <c r="O46" s="415"/>
      <c r="P46" s="450"/>
      <c r="Q46" s="451"/>
      <c r="R46" s="451"/>
      <c r="S46" s="451"/>
      <c r="T46" s="451"/>
      <c r="U46" s="451"/>
      <c r="V46" s="451"/>
      <c r="W46" s="451"/>
      <c r="X46" s="451"/>
      <c r="Y46" s="452"/>
      <c r="Z46" s="510"/>
      <c r="AA46" s="511"/>
      <c r="AB46" s="512"/>
      <c r="AC46" s="453" t="s">
        <v>85</v>
      </c>
      <c r="AD46" s="425"/>
      <c r="AE46" s="425" t="s">
        <v>86</v>
      </c>
      <c r="AF46" s="454"/>
      <c r="AG46" s="65"/>
      <c r="AH46" s="444"/>
      <c r="AI46" s="445"/>
      <c r="AJ46" s="444"/>
      <c r="AK46" s="445"/>
      <c r="AL46" s="444"/>
      <c r="AM46" s="446"/>
      <c r="AN46" s="444"/>
      <c r="AO46" s="446"/>
      <c r="AP46" s="444"/>
      <c r="AQ46" s="446"/>
      <c r="AR46" s="444"/>
      <c r="AS46" s="445"/>
      <c r="AT46" s="66"/>
      <c r="AU46" s="65"/>
      <c r="AV46" s="66"/>
      <c r="AW46" s="434"/>
      <c r="AX46" s="434"/>
      <c r="AY46" s="434"/>
      <c r="AZ46" s="434"/>
      <c r="BA46" s="435"/>
      <c r="BB46" s="67"/>
      <c r="BC46" s="96"/>
      <c r="BD46" s="96"/>
    </row>
    <row r="47" spans="1:56" s="64" customFormat="1" ht="7.5" customHeight="1" x14ac:dyDescent="0.2">
      <c r="A47" s="416"/>
      <c r="B47" s="419"/>
      <c r="C47" s="419"/>
      <c r="D47" s="419"/>
      <c r="E47" s="419"/>
      <c r="F47" s="419"/>
      <c r="G47" s="418"/>
      <c r="H47" s="415"/>
      <c r="I47" s="418"/>
      <c r="J47" s="418"/>
      <c r="K47" s="418"/>
      <c r="L47" s="418"/>
      <c r="M47" s="418"/>
      <c r="N47" s="418"/>
      <c r="O47" s="415"/>
      <c r="P47" s="97"/>
      <c r="Q47" s="455" t="s">
        <v>87</v>
      </c>
      <c r="R47" s="455"/>
      <c r="S47" s="455" t="s">
        <v>88</v>
      </c>
      <c r="T47" s="455"/>
      <c r="U47" s="455" t="s">
        <v>89</v>
      </c>
      <c r="V47" s="455"/>
      <c r="W47" s="455" t="s">
        <v>90</v>
      </c>
      <c r="X47" s="456"/>
      <c r="Y47" s="86"/>
      <c r="Z47" s="510"/>
      <c r="AA47" s="511"/>
      <c r="AB47" s="512"/>
      <c r="AC47" s="453"/>
      <c r="AD47" s="425"/>
      <c r="AE47" s="425"/>
      <c r="AF47" s="454"/>
      <c r="AG47" s="65"/>
      <c r="AH47" s="444"/>
      <c r="AI47" s="445"/>
      <c r="AJ47" s="444"/>
      <c r="AK47" s="445"/>
      <c r="AL47" s="444"/>
      <c r="AM47" s="446"/>
      <c r="AN47" s="444"/>
      <c r="AO47" s="446"/>
      <c r="AP47" s="444"/>
      <c r="AQ47" s="446"/>
      <c r="AR47" s="444"/>
      <c r="AS47" s="445"/>
      <c r="AT47" s="66"/>
      <c r="AU47" s="65"/>
      <c r="AV47" s="66"/>
      <c r="AW47" s="434"/>
      <c r="AX47" s="434"/>
      <c r="AY47" s="434"/>
      <c r="AZ47" s="434"/>
      <c r="BA47" s="435"/>
      <c r="BB47" s="67"/>
      <c r="BC47" s="96"/>
      <c r="BD47" s="96"/>
    </row>
    <row r="48" spans="1:56" s="64" customFormat="1" ht="7.5" customHeight="1" x14ac:dyDescent="0.2">
      <c r="A48" s="416"/>
      <c r="B48" s="419"/>
      <c r="C48" s="419"/>
      <c r="D48" s="419"/>
      <c r="E48" s="419"/>
      <c r="F48" s="419"/>
      <c r="G48" s="418"/>
      <c r="H48" s="415"/>
      <c r="I48" s="418"/>
      <c r="J48" s="418"/>
      <c r="K48" s="418"/>
      <c r="L48" s="418"/>
      <c r="M48" s="418"/>
      <c r="N48" s="418"/>
      <c r="O48" s="415"/>
      <c r="P48" s="98"/>
      <c r="Q48" s="425"/>
      <c r="R48" s="425"/>
      <c r="S48" s="425"/>
      <c r="T48" s="425"/>
      <c r="U48" s="425"/>
      <c r="V48" s="425"/>
      <c r="W48" s="425"/>
      <c r="X48" s="454"/>
      <c r="Y48" s="99"/>
      <c r="Z48" s="510"/>
      <c r="AA48" s="511"/>
      <c r="AB48" s="512"/>
      <c r="AC48" s="453"/>
      <c r="AD48" s="425"/>
      <c r="AE48" s="425"/>
      <c r="AF48" s="454"/>
      <c r="AG48" s="65"/>
      <c r="AH48" s="444"/>
      <c r="AI48" s="445"/>
      <c r="AJ48" s="444"/>
      <c r="AK48" s="445"/>
      <c r="AL48" s="444"/>
      <c r="AM48" s="446"/>
      <c r="AN48" s="444"/>
      <c r="AO48" s="446"/>
      <c r="AP48" s="444"/>
      <c r="AQ48" s="446"/>
      <c r="AR48" s="444"/>
      <c r="AS48" s="445"/>
      <c r="AT48" s="66"/>
      <c r="AU48" s="65"/>
      <c r="AV48" s="66"/>
      <c r="AW48" s="434"/>
      <c r="AX48" s="434"/>
      <c r="AY48" s="434"/>
      <c r="AZ48" s="434"/>
      <c r="BA48" s="435"/>
      <c r="BB48" s="67"/>
      <c r="BC48" s="96"/>
      <c r="BD48" s="96"/>
    </row>
    <row r="49" spans="1:58" s="64" customFormat="1" ht="7.5" customHeight="1" x14ac:dyDescent="0.2">
      <c r="A49" s="416"/>
      <c r="B49" s="419"/>
      <c r="C49" s="419"/>
      <c r="D49" s="419"/>
      <c r="E49" s="419"/>
      <c r="F49" s="419"/>
      <c r="G49" s="418"/>
      <c r="H49" s="415"/>
      <c r="I49" s="418"/>
      <c r="J49" s="418"/>
      <c r="K49" s="418"/>
      <c r="L49" s="418"/>
      <c r="M49" s="418"/>
      <c r="N49" s="418"/>
      <c r="O49" s="415"/>
      <c r="P49" s="98"/>
      <c r="Q49" s="425"/>
      <c r="R49" s="425"/>
      <c r="S49" s="425"/>
      <c r="T49" s="425"/>
      <c r="U49" s="425"/>
      <c r="V49" s="425"/>
      <c r="W49" s="425"/>
      <c r="X49" s="454"/>
      <c r="Y49" s="99"/>
      <c r="Z49" s="510"/>
      <c r="AA49" s="511"/>
      <c r="AB49" s="512"/>
      <c r="AC49" s="453"/>
      <c r="AD49" s="425"/>
      <c r="AE49" s="425"/>
      <c r="AF49" s="454"/>
      <c r="AG49" s="65"/>
      <c r="AH49" s="444"/>
      <c r="AI49" s="445"/>
      <c r="AJ49" s="444"/>
      <c r="AK49" s="445"/>
      <c r="AL49" s="444"/>
      <c r="AM49" s="446"/>
      <c r="AN49" s="444"/>
      <c r="AO49" s="446"/>
      <c r="AP49" s="444"/>
      <c r="AQ49" s="446"/>
      <c r="AR49" s="444"/>
      <c r="AS49" s="445"/>
      <c r="AT49" s="66"/>
      <c r="AU49" s="65"/>
      <c r="AV49" s="66"/>
      <c r="AW49" s="434"/>
      <c r="AX49" s="434"/>
      <c r="AY49" s="434"/>
      <c r="AZ49" s="434"/>
      <c r="BA49" s="435"/>
      <c r="BB49" s="67"/>
      <c r="BC49" s="96"/>
      <c r="BD49" s="96"/>
    </row>
    <row r="50" spans="1:58" s="64" customFormat="1" ht="7.5" customHeight="1" x14ac:dyDescent="0.2">
      <c r="A50" s="416"/>
      <c r="B50" s="419"/>
      <c r="C50" s="419"/>
      <c r="D50" s="419"/>
      <c r="E50" s="419"/>
      <c r="F50" s="419"/>
      <c r="G50" s="418"/>
      <c r="H50" s="415"/>
      <c r="I50" s="418"/>
      <c r="J50" s="418"/>
      <c r="K50" s="418"/>
      <c r="L50" s="418"/>
      <c r="M50" s="418"/>
      <c r="N50" s="418"/>
      <c r="O50" s="415"/>
      <c r="P50" s="98"/>
      <c r="Q50" s="425"/>
      <c r="R50" s="425"/>
      <c r="S50" s="425"/>
      <c r="T50" s="425"/>
      <c r="U50" s="425"/>
      <c r="V50" s="425"/>
      <c r="W50" s="425"/>
      <c r="X50" s="454"/>
      <c r="Y50" s="99"/>
      <c r="Z50" s="510"/>
      <c r="AA50" s="511"/>
      <c r="AB50" s="512"/>
      <c r="AC50" s="453"/>
      <c r="AD50" s="425"/>
      <c r="AE50" s="425"/>
      <c r="AF50" s="454"/>
      <c r="AG50" s="65"/>
      <c r="AH50" s="444"/>
      <c r="AI50" s="445"/>
      <c r="AJ50" s="444"/>
      <c r="AK50" s="445"/>
      <c r="AL50" s="444"/>
      <c r="AM50" s="446"/>
      <c r="AN50" s="444"/>
      <c r="AO50" s="446"/>
      <c r="AP50" s="444"/>
      <c r="AQ50" s="446"/>
      <c r="AR50" s="444"/>
      <c r="AS50" s="445"/>
      <c r="AT50" s="66"/>
      <c r="AU50" s="65"/>
      <c r="AV50" s="66"/>
      <c r="AW50" s="434"/>
      <c r="AX50" s="434"/>
      <c r="AY50" s="434"/>
      <c r="AZ50" s="434"/>
      <c r="BA50" s="435"/>
      <c r="BB50" s="67"/>
      <c r="BC50" s="96"/>
      <c r="BD50" s="96"/>
      <c r="BF50" s="64" t="s">
        <v>91</v>
      </c>
    </row>
    <row r="51" spans="1:58" s="64" customFormat="1" ht="7.5" customHeight="1" x14ac:dyDescent="0.2">
      <c r="A51" s="416"/>
      <c r="B51" s="419"/>
      <c r="C51" s="419"/>
      <c r="D51" s="419"/>
      <c r="E51" s="419"/>
      <c r="F51" s="419"/>
      <c r="G51" s="418"/>
      <c r="H51" s="415"/>
      <c r="I51" s="418"/>
      <c r="J51" s="418"/>
      <c r="K51" s="418"/>
      <c r="L51" s="418"/>
      <c r="M51" s="418"/>
      <c r="N51" s="418"/>
      <c r="O51" s="415"/>
      <c r="P51" s="100"/>
      <c r="Q51" s="425"/>
      <c r="R51" s="425"/>
      <c r="S51" s="425"/>
      <c r="T51" s="425"/>
      <c r="U51" s="425"/>
      <c r="V51" s="425"/>
      <c r="W51" s="425"/>
      <c r="X51" s="454"/>
      <c r="Y51" s="99"/>
      <c r="Z51" s="510"/>
      <c r="AA51" s="511"/>
      <c r="AB51" s="512"/>
      <c r="AC51" s="453"/>
      <c r="AD51" s="425"/>
      <c r="AE51" s="425"/>
      <c r="AF51" s="454"/>
      <c r="AG51" s="65"/>
      <c r="AH51" s="444"/>
      <c r="AI51" s="445"/>
      <c r="AJ51" s="444"/>
      <c r="AK51" s="445"/>
      <c r="AL51" s="444"/>
      <c r="AM51" s="446"/>
      <c r="AN51" s="444"/>
      <c r="AO51" s="446"/>
      <c r="AP51" s="444"/>
      <c r="AQ51" s="446"/>
      <c r="AR51" s="444"/>
      <c r="AS51" s="445"/>
      <c r="AT51" s="66"/>
      <c r="AU51" s="65"/>
      <c r="AV51" s="66"/>
      <c r="AW51" s="434"/>
      <c r="AX51" s="434"/>
      <c r="AY51" s="434"/>
      <c r="AZ51" s="434"/>
      <c r="BA51" s="435"/>
      <c r="BB51" s="67"/>
      <c r="BC51" s="96"/>
      <c r="BD51" s="96"/>
    </row>
    <row r="52" spans="1:58" s="64" customFormat="1" ht="7.5" customHeight="1" x14ac:dyDescent="0.2">
      <c r="A52" s="416"/>
      <c r="B52" s="418" t="str">
        <f>IF('Header Info'!G42="","",'Header Info'!G42)</f>
        <v/>
      </c>
      <c r="C52" s="418" t="str">
        <f>IF('Header Info'!G41="","",'Header Info'!G41)</f>
        <v/>
      </c>
      <c r="D52" s="418" t="str">
        <f>IF('Header Info'!G40="","",'Header Info'!G40)</f>
        <v>2520.0 м</v>
      </c>
      <c r="E52" s="418" t="str">
        <f>IF('Header Info'!G39="","",'Header Info'!G39)</f>
        <v>1899.0 м</v>
      </c>
      <c r="F52" s="420" t="str">
        <f>IF('Header Info'!G38="","",'Header Info'!G38)</f>
        <v>452.7 м</v>
      </c>
      <c r="G52" s="418" t="s">
        <v>42</v>
      </c>
      <c r="H52" s="415"/>
      <c r="I52" s="418" t="str">
        <f>IF('Header Info'!G31="","",'Header Info'!G31)</f>
        <v/>
      </c>
      <c r="J52" s="418" t="str">
        <f>IF('Header Info'!G30="","",'Header Info'!G30)</f>
        <v/>
      </c>
      <c r="K52" s="418" t="str">
        <f>IF('Header Info'!G29="","",'Header Info'!G29)</f>
        <v/>
      </c>
      <c r="L52" s="418" t="str">
        <f>IF('Header Info'!G28="","",'Header Info'!G28)</f>
        <v>1140.3 м</v>
      </c>
      <c r="M52" s="418" t="str">
        <f>IF('Header Info'!G27="","",'Header Info'!G27)</f>
        <v>447.4 м</v>
      </c>
      <c r="N52" s="418" t="s">
        <v>42</v>
      </c>
      <c r="O52" s="415"/>
      <c r="P52" s="100"/>
      <c r="Q52" s="457" t="str">
        <f>'Header Info'!E19</f>
        <v>On Shore</v>
      </c>
      <c r="R52" s="457"/>
      <c r="S52" s="425" t="str">
        <f>'Header Info'!E18</f>
        <v>-</v>
      </c>
      <c r="T52" s="425"/>
      <c r="U52" s="425" t="str">
        <f>'Header Info'!E17</f>
        <v>44.21 м</v>
      </c>
      <c r="V52" s="425"/>
      <c r="W52" s="425" t="str">
        <f>'Header Info'!E16</f>
        <v>44.21 м</v>
      </c>
      <c r="X52" s="454"/>
      <c r="Y52" s="99"/>
      <c r="Z52" s="510"/>
      <c r="AA52" s="511"/>
      <c r="AB52" s="512"/>
      <c r="AC52" s="468" t="str">
        <f>'Header Info'!E7</f>
        <v>82.69°</v>
      </c>
      <c r="AD52" s="469"/>
      <c r="AE52" s="474" t="str">
        <f>'Header Info'!E6</f>
        <v>22.2°</v>
      </c>
      <c r="AF52" s="475"/>
      <c r="AG52" s="65"/>
      <c r="AH52" s="444"/>
      <c r="AI52" s="445"/>
      <c r="AJ52" s="444"/>
      <c r="AK52" s="445"/>
      <c r="AL52" s="444"/>
      <c r="AM52" s="446"/>
      <c r="AN52" s="444"/>
      <c r="AO52" s="446"/>
      <c r="AP52" s="444"/>
      <c r="AQ52" s="446"/>
      <c r="AR52" s="444"/>
      <c r="AS52" s="445"/>
      <c r="AT52" s="66"/>
      <c r="AU52" s="65"/>
      <c r="AV52" s="66"/>
      <c r="AW52" s="434"/>
      <c r="AX52" s="434"/>
      <c r="AY52" s="434"/>
      <c r="AZ52" s="434"/>
      <c r="BA52" s="435"/>
      <c r="BB52" s="67"/>
      <c r="BC52" s="96"/>
      <c r="BD52" s="96"/>
    </row>
    <row r="53" spans="1:58" s="64" customFormat="1" ht="7.5" customHeight="1" x14ac:dyDescent="0.2">
      <c r="A53" s="416"/>
      <c r="B53" s="419"/>
      <c r="C53" s="419"/>
      <c r="D53" s="419"/>
      <c r="E53" s="419"/>
      <c r="F53" s="419"/>
      <c r="G53" s="415"/>
      <c r="H53" s="415"/>
      <c r="I53" s="418"/>
      <c r="J53" s="415"/>
      <c r="K53" s="415"/>
      <c r="L53" s="415"/>
      <c r="M53" s="415"/>
      <c r="N53" s="415"/>
      <c r="O53" s="415"/>
      <c r="P53" s="100"/>
      <c r="Q53" s="457"/>
      <c r="R53" s="457"/>
      <c r="S53" s="425"/>
      <c r="T53" s="425"/>
      <c r="U53" s="425"/>
      <c r="V53" s="425"/>
      <c r="W53" s="425"/>
      <c r="X53" s="454"/>
      <c r="Y53" s="99"/>
      <c r="Z53" s="510"/>
      <c r="AA53" s="511"/>
      <c r="AB53" s="512"/>
      <c r="AC53" s="470"/>
      <c r="AD53" s="471"/>
      <c r="AE53" s="476"/>
      <c r="AF53" s="475"/>
      <c r="AG53" s="65"/>
      <c r="AH53" s="444"/>
      <c r="AI53" s="445"/>
      <c r="AJ53" s="444"/>
      <c r="AK53" s="445"/>
      <c r="AL53" s="444"/>
      <c r="AM53" s="446"/>
      <c r="AN53" s="444"/>
      <c r="AO53" s="446"/>
      <c r="AP53" s="444"/>
      <c r="AQ53" s="446"/>
      <c r="AR53" s="444"/>
      <c r="AS53" s="445"/>
      <c r="AT53" s="66"/>
      <c r="AU53" s="65"/>
      <c r="AV53" s="66"/>
      <c r="AW53" s="434"/>
      <c r="AX53" s="434"/>
      <c r="AY53" s="434"/>
      <c r="AZ53" s="434"/>
      <c r="BA53" s="435"/>
      <c r="BB53" s="67"/>
      <c r="BC53" s="96"/>
      <c r="BD53" s="96"/>
    </row>
    <row r="54" spans="1:58" s="64" customFormat="1" ht="7.5" customHeight="1" x14ac:dyDescent="0.2">
      <c r="A54" s="416"/>
      <c r="B54" s="419"/>
      <c r="C54" s="419"/>
      <c r="D54" s="419"/>
      <c r="E54" s="419"/>
      <c r="F54" s="419"/>
      <c r="G54" s="415"/>
      <c r="H54" s="415"/>
      <c r="I54" s="418"/>
      <c r="J54" s="415"/>
      <c r="K54" s="415"/>
      <c r="L54" s="415"/>
      <c r="M54" s="415"/>
      <c r="N54" s="415"/>
      <c r="O54" s="415"/>
      <c r="P54" s="100"/>
      <c r="Q54" s="457"/>
      <c r="R54" s="457"/>
      <c r="S54" s="425"/>
      <c r="T54" s="425"/>
      <c r="U54" s="425"/>
      <c r="V54" s="425"/>
      <c r="W54" s="425"/>
      <c r="X54" s="454"/>
      <c r="Y54" s="99"/>
      <c r="Z54" s="510"/>
      <c r="AA54" s="511"/>
      <c r="AB54" s="512"/>
      <c r="AC54" s="470"/>
      <c r="AD54" s="471"/>
      <c r="AE54" s="476"/>
      <c r="AF54" s="475"/>
      <c r="AG54" s="65"/>
      <c r="AH54" s="444"/>
      <c r="AI54" s="445"/>
      <c r="AJ54" s="444"/>
      <c r="AK54" s="445"/>
      <c r="AL54" s="444"/>
      <c r="AM54" s="446"/>
      <c r="AN54" s="444"/>
      <c r="AO54" s="446"/>
      <c r="AP54" s="444"/>
      <c r="AQ54" s="446"/>
      <c r="AR54" s="444"/>
      <c r="AS54" s="445"/>
      <c r="AT54" s="66"/>
      <c r="AU54" s="65"/>
      <c r="AV54" s="66"/>
      <c r="AW54" s="434"/>
      <c r="AX54" s="434"/>
      <c r="AY54" s="434"/>
      <c r="AZ54" s="434"/>
      <c r="BA54" s="435"/>
      <c r="BB54" s="67"/>
      <c r="BC54" s="96"/>
      <c r="BD54" s="96"/>
    </row>
    <row r="55" spans="1:58" s="64" customFormat="1" ht="7.5" customHeight="1" x14ac:dyDescent="0.2">
      <c r="A55" s="416"/>
      <c r="B55" s="419"/>
      <c r="C55" s="419"/>
      <c r="D55" s="419"/>
      <c r="E55" s="419"/>
      <c r="F55" s="419"/>
      <c r="G55" s="415"/>
      <c r="H55" s="415"/>
      <c r="I55" s="418"/>
      <c r="J55" s="415"/>
      <c r="K55" s="415"/>
      <c r="L55" s="415"/>
      <c r="M55" s="415"/>
      <c r="N55" s="415"/>
      <c r="O55" s="415"/>
      <c r="P55" s="100"/>
      <c r="Q55" s="457"/>
      <c r="R55" s="457"/>
      <c r="S55" s="425"/>
      <c r="T55" s="425"/>
      <c r="U55" s="425"/>
      <c r="V55" s="425"/>
      <c r="W55" s="425"/>
      <c r="X55" s="454"/>
      <c r="Y55" s="99"/>
      <c r="Z55" s="510"/>
      <c r="AA55" s="511"/>
      <c r="AB55" s="512"/>
      <c r="AC55" s="470"/>
      <c r="AD55" s="471"/>
      <c r="AE55" s="476"/>
      <c r="AF55" s="475"/>
      <c r="AG55" s="65"/>
      <c r="AH55" s="444"/>
      <c r="AI55" s="445"/>
      <c r="AJ55" s="444"/>
      <c r="AK55" s="445"/>
      <c r="AL55" s="444"/>
      <c r="AM55" s="446"/>
      <c r="AN55" s="444"/>
      <c r="AO55" s="446"/>
      <c r="AP55" s="444"/>
      <c r="AQ55" s="446"/>
      <c r="AR55" s="444"/>
      <c r="AS55" s="445"/>
      <c r="AT55" s="66"/>
      <c r="AU55" s="65"/>
      <c r="AV55" s="66"/>
      <c r="AW55" s="434"/>
      <c r="AX55" s="434"/>
      <c r="AY55" s="434"/>
      <c r="AZ55" s="434"/>
      <c r="BA55" s="435"/>
      <c r="BB55" s="67"/>
      <c r="BC55" s="96"/>
      <c r="BD55" s="96"/>
    </row>
    <row r="56" spans="1:58" s="64" customFormat="1" ht="7.5" customHeight="1" x14ac:dyDescent="0.2">
      <c r="A56" s="416"/>
      <c r="B56" s="419"/>
      <c r="C56" s="419"/>
      <c r="D56" s="419"/>
      <c r="E56" s="419"/>
      <c r="F56" s="419"/>
      <c r="G56" s="415"/>
      <c r="H56" s="415"/>
      <c r="I56" s="418"/>
      <c r="J56" s="415"/>
      <c r="K56" s="415"/>
      <c r="L56" s="415"/>
      <c r="M56" s="415"/>
      <c r="N56" s="415"/>
      <c r="O56" s="415"/>
      <c r="P56" s="100"/>
      <c r="Q56" s="457"/>
      <c r="R56" s="457"/>
      <c r="S56" s="425"/>
      <c r="T56" s="425"/>
      <c r="U56" s="425"/>
      <c r="V56" s="425"/>
      <c r="W56" s="425"/>
      <c r="X56" s="454"/>
      <c r="Y56" s="99"/>
      <c r="Z56" s="510"/>
      <c r="AA56" s="511"/>
      <c r="AB56" s="512"/>
      <c r="AC56" s="470"/>
      <c r="AD56" s="471"/>
      <c r="AE56" s="476"/>
      <c r="AF56" s="475"/>
      <c r="AG56" s="65"/>
      <c r="AH56" s="444"/>
      <c r="AI56" s="445"/>
      <c r="AJ56" s="444"/>
      <c r="AK56" s="445"/>
      <c r="AL56" s="444"/>
      <c r="AM56" s="446"/>
      <c r="AN56" s="444"/>
      <c r="AO56" s="446"/>
      <c r="AP56" s="444"/>
      <c r="AQ56" s="446"/>
      <c r="AR56" s="444"/>
      <c r="AS56" s="445"/>
      <c r="AT56" s="66"/>
      <c r="AU56" s="65"/>
      <c r="AV56" s="66"/>
      <c r="AW56" s="434"/>
      <c r="AX56" s="434"/>
      <c r="AY56" s="434"/>
      <c r="AZ56" s="434"/>
      <c r="BA56" s="435"/>
      <c r="BB56" s="67"/>
      <c r="BC56" s="96"/>
      <c r="BD56" s="96"/>
    </row>
    <row r="57" spans="1:58" s="64" customFormat="1" ht="7.5" customHeight="1" x14ac:dyDescent="0.2">
      <c r="A57" s="416"/>
      <c r="B57" s="419"/>
      <c r="C57" s="419"/>
      <c r="D57" s="419"/>
      <c r="E57" s="419"/>
      <c r="F57" s="419"/>
      <c r="G57" s="415"/>
      <c r="H57" s="415"/>
      <c r="I57" s="418"/>
      <c r="J57" s="415"/>
      <c r="K57" s="415"/>
      <c r="L57" s="415"/>
      <c r="M57" s="415"/>
      <c r="N57" s="415"/>
      <c r="O57" s="415"/>
      <c r="P57" s="100"/>
      <c r="Q57" s="457"/>
      <c r="R57" s="457"/>
      <c r="S57" s="425"/>
      <c r="T57" s="425"/>
      <c r="U57" s="425"/>
      <c r="V57" s="425"/>
      <c r="W57" s="425"/>
      <c r="X57" s="454"/>
      <c r="Y57" s="99"/>
      <c r="Z57" s="510"/>
      <c r="AA57" s="511"/>
      <c r="AB57" s="512"/>
      <c r="AC57" s="470"/>
      <c r="AD57" s="471"/>
      <c r="AE57" s="476"/>
      <c r="AF57" s="475"/>
      <c r="AG57" s="101"/>
      <c r="AH57" s="444"/>
      <c r="AI57" s="445"/>
      <c r="AJ57" s="444"/>
      <c r="AK57" s="445"/>
      <c r="AL57" s="444"/>
      <c r="AM57" s="446"/>
      <c r="AN57" s="444"/>
      <c r="AO57" s="446"/>
      <c r="AP57" s="444"/>
      <c r="AQ57" s="446"/>
      <c r="AR57" s="444"/>
      <c r="AS57" s="445"/>
      <c r="AT57" s="66"/>
      <c r="AU57" s="65"/>
      <c r="AV57" s="66"/>
      <c r="AW57" s="434"/>
      <c r="AX57" s="434"/>
      <c r="AY57" s="434"/>
      <c r="AZ57" s="434"/>
      <c r="BA57" s="435"/>
      <c r="BB57" s="67"/>
      <c r="BC57" s="96"/>
      <c r="BD57" s="96"/>
    </row>
    <row r="58" spans="1:58" s="64" customFormat="1" ht="7.5" customHeight="1" thickBot="1" x14ac:dyDescent="0.35">
      <c r="A58" s="417"/>
      <c r="B58" s="419"/>
      <c r="C58" s="419"/>
      <c r="D58" s="419"/>
      <c r="E58" s="419"/>
      <c r="F58" s="419"/>
      <c r="G58" s="415"/>
      <c r="H58" s="415"/>
      <c r="I58" s="418"/>
      <c r="J58" s="415"/>
      <c r="K58" s="415"/>
      <c r="L58" s="415"/>
      <c r="M58" s="415"/>
      <c r="N58" s="415"/>
      <c r="O58" s="415"/>
      <c r="P58" s="73"/>
      <c r="Q58" s="458"/>
      <c r="R58" s="458"/>
      <c r="S58" s="459"/>
      <c r="T58" s="459"/>
      <c r="U58" s="459"/>
      <c r="V58" s="459"/>
      <c r="W58" s="459"/>
      <c r="X58" s="460"/>
      <c r="Y58" s="102"/>
      <c r="Z58" s="513"/>
      <c r="AA58" s="514"/>
      <c r="AB58" s="515"/>
      <c r="AC58" s="472"/>
      <c r="AD58" s="473"/>
      <c r="AE58" s="477"/>
      <c r="AF58" s="478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88" t="s">
        <v>51</v>
      </c>
      <c r="B1" s="545" t="str">
        <f>IF('Header Info'!A42="","",'Header Info'!A42)</f>
        <v/>
      </c>
      <c r="C1" s="518" t="str">
        <f>IF('Header Info'!A41="","",'Header Info'!A41)</f>
        <v/>
      </c>
      <c r="D1" s="518" t="str">
        <f>IF('Header Info'!A40="","",'Header Info'!A40)</f>
        <v>155.6 мм</v>
      </c>
      <c r="E1" s="521" t="str">
        <f>IF('Header Info'!A39="","",'Header Info'!A39)</f>
        <v>220.7 мм</v>
      </c>
      <c r="F1" s="521" t="str">
        <f>IF('Header Info'!A38="","",'Header Info'!A38)</f>
        <v>295.3 мм</v>
      </c>
      <c r="G1" s="526" t="s">
        <v>52</v>
      </c>
      <c r="H1" s="529" t="s">
        <v>45</v>
      </c>
      <c r="I1" s="532" t="str">
        <f>IF('Header Info'!A31="","",'Header Info'!A31)</f>
        <v/>
      </c>
      <c r="J1" s="532" t="str">
        <f>IF('Header Info'!A30="","",'Header Info'!A30)</f>
        <v/>
      </c>
      <c r="K1" s="526" t="str">
        <f>IF('Header Info'!A29="","",'Header Info'!A29)</f>
        <v>155.6 мм</v>
      </c>
      <c r="L1" s="534" t="str">
        <f>IF('Header Info'!A28="","",'Header Info'!A28)</f>
        <v>220.7 мм</v>
      </c>
      <c r="M1" s="534" t="str">
        <f>IF('Header Info'!A27="","",'Header Info'!A27)</f>
        <v>295.3 мм</v>
      </c>
      <c r="N1" s="526" t="s">
        <v>52</v>
      </c>
      <c r="O1" s="529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16"/>
      <c r="B2" s="523"/>
      <c r="C2" s="519"/>
      <c r="D2" s="519"/>
      <c r="E2" s="519"/>
      <c r="F2" s="519"/>
      <c r="G2" s="527"/>
      <c r="H2" s="530"/>
      <c r="I2" s="533"/>
      <c r="J2" s="533"/>
      <c r="K2" s="527"/>
      <c r="L2" s="535"/>
      <c r="M2" s="535"/>
      <c r="N2" s="527"/>
      <c r="O2" s="530"/>
      <c r="P2" s="424" t="s">
        <v>53</v>
      </c>
      <c r="Q2" s="425"/>
      <c r="R2" s="495" t="s">
        <v>54</v>
      </c>
      <c r="S2" s="495"/>
      <c r="T2" s="517" t="s">
        <v>25</v>
      </c>
      <c r="U2" s="495"/>
      <c r="V2" s="495" t="s">
        <v>23</v>
      </c>
      <c r="W2" s="495"/>
      <c r="X2" s="495" t="s">
        <v>55</v>
      </c>
      <c r="Y2" s="496"/>
      <c r="Z2" s="489" t="s">
        <v>56</v>
      </c>
      <c r="AA2" s="489"/>
      <c r="AB2" s="489"/>
      <c r="AC2" s="489"/>
      <c r="AD2" s="489"/>
      <c r="AE2" s="489"/>
      <c r="AF2" s="497" t="str">
        <f>'Header Info'!B2</f>
        <v>АО "Мессояханефтегаз"</v>
      </c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8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16"/>
      <c r="B3" s="523"/>
      <c r="C3" s="519"/>
      <c r="D3" s="519"/>
      <c r="E3" s="519"/>
      <c r="F3" s="519"/>
      <c r="G3" s="527"/>
      <c r="H3" s="530"/>
      <c r="I3" s="533"/>
      <c r="J3" s="533"/>
      <c r="K3" s="527"/>
      <c r="L3" s="535"/>
      <c r="M3" s="535"/>
      <c r="N3" s="527"/>
      <c r="O3" s="530"/>
      <c r="P3" s="424"/>
      <c r="Q3" s="425"/>
      <c r="R3" s="495"/>
      <c r="S3" s="495"/>
      <c r="T3" s="517"/>
      <c r="U3" s="495"/>
      <c r="V3" s="495"/>
      <c r="W3" s="495"/>
      <c r="X3" s="495"/>
      <c r="Y3" s="496"/>
      <c r="Z3" s="489"/>
      <c r="AA3" s="489"/>
      <c r="AB3" s="489"/>
      <c r="AC3" s="489"/>
      <c r="AD3" s="489"/>
      <c r="AE3" s="48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500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16"/>
      <c r="B4" s="523"/>
      <c r="C4" s="519"/>
      <c r="D4" s="519"/>
      <c r="E4" s="519"/>
      <c r="F4" s="519"/>
      <c r="G4" s="527"/>
      <c r="H4" s="530"/>
      <c r="I4" s="533"/>
      <c r="J4" s="533"/>
      <c r="K4" s="527"/>
      <c r="L4" s="535"/>
      <c r="M4" s="535"/>
      <c r="N4" s="527"/>
      <c r="O4" s="530"/>
      <c r="P4" s="424"/>
      <c r="Q4" s="425"/>
      <c r="R4" s="495"/>
      <c r="S4" s="495"/>
      <c r="T4" s="517"/>
      <c r="U4" s="495"/>
      <c r="V4" s="495"/>
      <c r="W4" s="495"/>
      <c r="X4" s="495"/>
      <c r="Y4" s="496"/>
      <c r="Z4" s="489" t="s">
        <v>57</v>
      </c>
      <c r="AA4" s="501"/>
      <c r="AB4" s="501"/>
      <c r="AC4" s="501"/>
      <c r="AD4" s="501"/>
      <c r="AE4" s="501"/>
      <c r="AF4" s="497" t="str">
        <f>'Header Info'!B3</f>
        <v>4828st03#74 Горизонтальный ствол3</v>
      </c>
      <c r="AG4" s="497"/>
      <c r="AH4" s="497"/>
      <c r="AI4" s="497"/>
      <c r="AJ4" s="497"/>
      <c r="AK4" s="497"/>
      <c r="AL4" s="497"/>
      <c r="AM4" s="497"/>
      <c r="AN4" s="497"/>
      <c r="AO4" s="497"/>
      <c r="AP4" s="497"/>
      <c r="AQ4" s="497"/>
      <c r="AR4" s="497"/>
      <c r="AS4" s="497"/>
      <c r="AT4" s="49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16"/>
      <c r="B5" s="523"/>
      <c r="C5" s="519"/>
      <c r="D5" s="519"/>
      <c r="E5" s="519"/>
      <c r="F5" s="519"/>
      <c r="G5" s="527"/>
      <c r="H5" s="530"/>
      <c r="I5" s="533"/>
      <c r="J5" s="533"/>
      <c r="K5" s="527"/>
      <c r="L5" s="535"/>
      <c r="M5" s="535"/>
      <c r="N5" s="527"/>
      <c r="O5" s="530"/>
      <c r="P5" s="424"/>
      <c r="Q5" s="425"/>
      <c r="R5" s="495"/>
      <c r="S5" s="495"/>
      <c r="T5" s="517"/>
      <c r="U5" s="495"/>
      <c r="V5" s="495"/>
      <c r="W5" s="495"/>
      <c r="X5" s="495"/>
      <c r="Y5" s="496"/>
      <c r="Z5" s="501"/>
      <c r="AA5" s="501"/>
      <c r="AB5" s="501"/>
      <c r="AC5" s="501"/>
      <c r="AD5" s="501"/>
      <c r="AE5" s="501"/>
      <c r="AF5" s="499"/>
      <c r="AG5" s="499"/>
      <c r="AH5" s="499"/>
      <c r="AI5" s="499"/>
      <c r="AJ5" s="499"/>
      <c r="AK5" s="499"/>
      <c r="AL5" s="499"/>
      <c r="AM5" s="499"/>
      <c r="AN5" s="499"/>
      <c r="AO5" s="499"/>
      <c r="AP5" s="499"/>
      <c r="AQ5" s="499"/>
      <c r="AR5" s="499"/>
      <c r="AS5" s="499"/>
      <c r="AT5" s="50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16"/>
      <c r="B6" s="523"/>
      <c r="C6" s="519"/>
      <c r="D6" s="519"/>
      <c r="E6" s="519"/>
      <c r="F6" s="519"/>
      <c r="G6" s="527"/>
      <c r="H6" s="530"/>
      <c r="I6" s="533"/>
      <c r="J6" s="533"/>
      <c r="K6" s="527"/>
      <c r="L6" s="535"/>
      <c r="M6" s="535"/>
      <c r="N6" s="527"/>
      <c r="O6" s="530"/>
      <c r="P6" s="424"/>
      <c r="Q6" s="425"/>
      <c r="R6" s="495"/>
      <c r="S6" s="495"/>
      <c r="T6" s="517"/>
      <c r="U6" s="495"/>
      <c r="V6" s="495"/>
      <c r="W6" s="495"/>
      <c r="X6" s="495"/>
      <c r="Y6" s="496"/>
      <c r="Z6" s="489" t="s">
        <v>58</v>
      </c>
      <c r="AA6" s="489"/>
      <c r="AB6" s="489"/>
      <c r="AC6" s="489"/>
      <c r="AD6" s="489"/>
      <c r="AE6" s="489"/>
      <c r="AF6" s="497" t="str">
        <f>'Header Info'!B5</f>
        <v>Восточно-Мессояхское</v>
      </c>
      <c r="AG6" s="497"/>
      <c r="AH6" s="497"/>
      <c r="AI6" s="497"/>
      <c r="AJ6" s="497"/>
      <c r="AK6" s="497"/>
      <c r="AL6" s="497"/>
      <c r="AM6" s="497"/>
      <c r="AN6" s="497"/>
      <c r="AO6" s="497"/>
      <c r="AP6" s="497"/>
      <c r="AQ6" s="497"/>
      <c r="AR6" s="497"/>
      <c r="AS6" s="497"/>
      <c r="AT6" s="498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16"/>
      <c r="B7" s="523"/>
      <c r="C7" s="519"/>
      <c r="D7" s="519"/>
      <c r="E7" s="519"/>
      <c r="F7" s="519"/>
      <c r="G7" s="527"/>
      <c r="H7" s="530"/>
      <c r="I7" s="533"/>
      <c r="J7" s="533"/>
      <c r="K7" s="527"/>
      <c r="L7" s="535"/>
      <c r="M7" s="535"/>
      <c r="N7" s="527"/>
      <c r="O7" s="530"/>
      <c r="P7" s="424"/>
      <c r="Q7" s="425"/>
      <c r="R7" s="495"/>
      <c r="S7" s="495"/>
      <c r="T7" s="517"/>
      <c r="U7" s="495"/>
      <c r="V7" s="495"/>
      <c r="W7" s="495"/>
      <c r="X7" s="495"/>
      <c r="Y7" s="496"/>
      <c r="Z7" s="489"/>
      <c r="AA7" s="489"/>
      <c r="AB7" s="489"/>
      <c r="AC7" s="489"/>
      <c r="AD7" s="489"/>
      <c r="AE7" s="489"/>
      <c r="AF7" s="499"/>
      <c r="AG7" s="499"/>
      <c r="AH7" s="499"/>
      <c r="AI7" s="499"/>
      <c r="AJ7" s="499"/>
      <c r="AK7" s="499"/>
      <c r="AL7" s="499"/>
      <c r="AM7" s="499"/>
      <c r="AN7" s="499"/>
      <c r="AO7" s="499"/>
      <c r="AP7" s="499"/>
      <c r="AQ7" s="499"/>
      <c r="AR7" s="499"/>
      <c r="AS7" s="499"/>
      <c r="AT7" s="500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16"/>
      <c r="B8" s="523"/>
      <c r="C8" s="519"/>
      <c r="D8" s="519"/>
      <c r="E8" s="519"/>
      <c r="F8" s="519"/>
      <c r="G8" s="527"/>
      <c r="H8" s="530"/>
      <c r="I8" s="533"/>
      <c r="J8" s="533"/>
      <c r="K8" s="527"/>
      <c r="L8" s="535"/>
      <c r="M8" s="535"/>
      <c r="N8" s="527"/>
      <c r="O8" s="530"/>
      <c r="P8" s="424"/>
      <c r="Q8" s="425"/>
      <c r="R8" s="495"/>
      <c r="S8" s="495"/>
      <c r="T8" s="517"/>
      <c r="U8" s="495"/>
      <c r="V8" s="495"/>
      <c r="W8" s="495"/>
      <c r="X8" s="495"/>
      <c r="Y8" s="496"/>
      <c r="Z8" s="489" t="s">
        <v>59</v>
      </c>
      <c r="AA8" s="489"/>
      <c r="AB8" s="489"/>
      <c r="AC8" s="489"/>
      <c r="AD8" s="489"/>
      <c r="AE8" s="489"/>
      <c r="AF8" s="497" t="str">
        <f>'Header Info'!B6</f>
        <v>БУ-3200</v>
      </c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8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16"/>
      <c r="B9" s="524"/>
      <c r="C9" s="520"/>
      <c r="D9" s="520"/>
      <c r="E9" s="520"/>
      <c r="F9" s="520"/>
      <c r="G9" s="528"/>
      <c r="H9" s="530"/>
      <c r="I9" s="533"/>
      <c r="J9" s="533"/>
      <c r="K9" s="527"/>
      <c r="L9" s="535"/>
      <c r="M9" s="535"/>
      <c r="N9" s="528"/>
      <c r="O9" s="530"/>
      <c r="P9" s="424"/>
      <c r="Q9" s="425"/>
      <c r="R9" s="495"/>
      <c r="S9" s="495"/>
      <c r="T9" s="517"/>
      <c r="U9" s="495"/>
      <c r="V9" s="495"/>
      <c r="W9" s="495"/>
      <c r="X9" s="495"/>
      <c r="Y9" s="496"/>
      <c r="Z9" s="489"/>
      <c r="AA9" s="489"/>
      <c r="AB9" s="489"/>
      <c r="AC9" s="489"/>
      <c r="AD9" s="489"/>
      <c r="AE9" s="48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500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16"/>
      <c r="B10" s="522" t="str">
        <f>IF('Header Info'!B42="","",'Header Info'!B42)</f>
        <v/>
      </c>
      <c r="C10" s="525" t="str">
        <f>IF('Header Info'!B41="","",'Header Info'!B41)</f>
        <v/>
      </c>
      <c r="D10" s="525" t="str">
        <f>IF('Header Info'!B40="","",'Header Info'!B40)</f>
        <v>84.7°</v>
      </c>
      <c r="E10" s="525" t="str">
        <f>IF('Header Info'!B39="","",'Header Info'!B39)</f>
        <v>10.7°</v>
      </c>
      <c r="F10" s="525" t="str">
        <f>IF('Header Info'!B38="","",'Header Info'!B38)</f>
        <v>0.5°</v>
      </c>
      <c r="G10" s="539" t="s">
        <v>60</v>
      </c>
      <c r="H10" s="530"/>
      <c r="I10" s="533" t="str">
        <f>IF('Header Info'!B31="","",'Header Info'!B31)</f>
        <v/>
      </c>
      <c r="J10" s="533" t="str">
        <f>IF('Header Info'!B30="","",'Header Info'!B30)</f>
        <v/>
      </c>
      <c r="K10" s="538" t="str">
        <f>IF('Header Info'!B29="","",'Header Info'!B29)</f>
        <v>1144.0 м</v>
      </c>
      <c r="L10" s="538" t="str">
        <f>IF('Header Info'!B28="","",'Header Info'!B28)</f>
        <v>452.7 м</v>
      </c>
      <c r="M10" s="538" t="str">
        <f>IF('Header Info'!B27="","",'Header Info'!B27)</f>
        <v>0.0 м</v>
      </c>
      <c r="N10" s="539" t="s">
        <v>41</v>
      </c>
      <c r="O10" s="530"/>
      <c r="P10" s="424"/>
      <c r="Q10" s="425"/>
      <c r="R10" s="495"/>
      <c r="S10" s="495"/>
      <c r="T10" s="517"/>
      <c r="U10" s="495"/>
      <c r="V10" s="495"/>
      <c r="W10" s="495"/>
      <c r="X10" s="495"/>
      <c r="Y10" s="496"/>
      <c r="Z10" s="489" t="s">
        <v>61</v>
      </c>
      <c r="AA10" s="489"/>
      <c r="AB10" s="489"/>
      <c r="AC10" s="489"/>
      <c r="AD10" s="489"/>
      <c r="AE10" s="489"/>
      <c r="AF10" s="490" t="str">
        <f>'Header Info'!B7</f>
        <v>Россия</v>
      </c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1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16"/>
      <c r="B11" s="523"/>
      <c r="C11" s="519"/>
      <c r="D11" s="519"/>
      <c r="E11" s="519"/>
      <c r="F11" s="519"/>
      <c r="G11" s="540"/>
      <c r="H11" s="530"/>
      <c r="I11" s="533"/>
      <c r="J11" s="533"/>
      <c r="K11" s="527"/>
      <c r="L11" s="527"/>
      <c r="M11" s="527"/>
      <c r="N11" s="540"/>
      <c r="O11" s="530"/>
      <c r="P11" s="426">
        <f>'Header Info'!B20</f>
        <v>44669</v>
      </c>
      <c r="Q11" s="427"/>
      <c r="R11" s="494" t="str">
        <f>'Header Info'!B18</f>
        <v>1460.00 м</v>
      </c>
      <c r="S11" s="494"/>
      <c r="T11" s="517"/>
      <c r="U11" s="495"/>
      <c r="V11" s="495"/>
      <c r="W11" s="495"/>
      <c r="X11" s="495"/>
      <c r="Y11" s="496"/>
      <c r="Z11" s="489"/>
      <c r="AA11" s="489"/>
      <c r="AB11" s="489"/>
      <c r="AC11" s="489"/>
      <c r="AD11" s="489"/>
      <c r="AE11" s="489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3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16"/>
      <c r="B12" s="523"/>
      <c r="C12" s="519"/>
      <c r="D12" s="519"/>
      <c r="E12" s="519"/>
      <c r="F12" s="519"/>
      <c r="G12" s="540"/>
      <c r="H12" s="530"/>
      <c r="I12" s="533"/>
      <c r="J12" s="533"/>
      <c r="K12" s="527"/>
      <c r="L12" s="527"/>
      <c r="M12" s="527"/>
      <c r="N12" s="540"/>
      <c r="O12" s="530"/>
      <c r="P12" s="426"/>
      <c r="Q12" s="427"/>
      <c r="R12" s="494"/>
      <c r="S12" s="494"/>
      <c r="T12" s="517"/>
      <c r="U12" s="495"/>
      <c r="V12" s="495"/>
      <c r="W12" s="495"/>
      <c r="X12" s="495"/>
      <c r="Y12" s="496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16"/>
      <c r="B13" s="523"/>
      <c r="C13" s="519"/>
      <c r="D13" s="519"/>
      <c r="E13" s="519"/>
      <c r="F13" s="519"/>
      <c r="G13" s="540"/>
      <c r="H13" s="530"/>
      <c r="I13" s="533"/>
      <c r="J13" s="533"/>
      <c r="K13" s="527"/>
      <c r="L13" s="527"/>
      <c r="M13" s="527"/>
      <c r="N13" s="540"/>
      <c r="O13" s="530"/>
      <c r="P13" s="426"/>
      <c r="Q13" s="427"/>
      <c r="R13" s="494"/>
      <c r="S13" s="494"/>
      <c r="T13" s="517"/>
      <c r="U13" s="495"/>
      <c r="V13" s="495"/>
      <c r="W13" s="495"/>
      <c r="X13" s="495"/>
      <c r="Y13" s="496"/>
      <c r="Z13" s="447" t="s">
        <v>62</v>
      </c>
      <c r="AA13" s="448"/>
      <c r="AB13" s="448"/>
      <c r="AC13" s="448"/>
      <c r="AD13" s="448"/>
      <c r="AE13" s="448"/>
      <c r="AF13" s="449"/>
      <c r="AG13" s="61"/>
      <c r="AH13" s="480" t="s">
        <v>63</v>
      </c>
      <c r="AI13" s="480"/>
      <c r="AJ13" s="480" t="s">
        <v>64</v>
      </c>
      <c r="AK13" s="480"/>
      <c r="AL13" s="480" t="s">
        <v>65</v>
      </c>
      <c r="AM13" s="480"/>
      <c r="AN13" s="480" t="s">
        <v>66</v>
      </c>
      <c r="AO13" s="480"/>
      <c r="AP13" s="480" t="s">
        <v>67</v>
      </c>
      <c r="AQ13" s="480"/>
      <c r="AR13" s="480" t="s">
        <v>68</v>
      </c>
      <c r="AS13" s="48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16"/>
      <c r="B14" s="523"/>
      <c r="C14" s="519"/>
      <c r="D14" s="519"/>
      <c r="E14" s="519"/>
      <c r="F14" s="519"/>
      <c r="G14" s="540"/>
      <c r="H14" s="530"/>
      <c r="I14" s="533"/>
      <c r="J14" s="533"/>
      <c r="K14" s="527"/>
      <c r="L14" s="527"/>
      <c r="M14" s="527"/>
      <c r="N14" s="540"/>
      <c r="O14" s="530"/>
      <c r="P14" s="426"/>
      <c r="Q14" s="427"/>
      <c r="R14" s="494"/>
      <c r="S14" s="494"/>
      <c r="T14" s="517"/>
      <c r="U14" s="495"/>
      <c r="V14" s="495"/>
      <c r="W14" s="495"/>
      <c r="X14" s="495"/>
      <c r="Y14" s="496"/>
      <c r="Z14" s="450"/>
      <c r="AA14" s="451"/>
      <c r="AB14" s="451"/>
      <c r="AC14" s="451"/>
      <c r="AD14" s="451"/>
      <c r="AE14" s="451"/>
      <c r="AF14" s="452"/>
      <c r="AG14" s="65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81" t="s">
        <v>69</v>
      </c>
      <c r="B15" s="523"/>
      <c r="C15" s="519"/>
      <c r="D15" s="519"/>
      <c r="E15" s="519"/>
      <c r="F15" s="519"/>
      <c r="G15" s="540"/>
      <c r="H15" s="530"/>
      <c r="I15" s="533"/>
      <c r="J15" s="533"/>
      <c r="K15" s="527"/>
      <c r="L15" s="527"/>
      <c r="M15" s="527"/>
      <c r="N15" s="540"/>
      <c r="O15" s="530"/>
      <c r="P15" s="426"/>
      <c r="Q15" s="427"/>
      <c r="R15" s="494"/>
      <c r="S15" s="494"/>
      <c r="T15" s="424" t="str">
        <f>'Header Info'!B15</f>
        <v>длина буровой трубы</v>
      </c>
      <c r="U15" s="425"/>
      <c r="V15" s="425" t="str">
        <f>'Header Info'!B14</f>
        <v>пол буровой</v>
      </c>
      <c r="W15" s="425"/>
      <c r="X15" s="425" t="str">
        <f>'Header Info'!B12</f>
        <v>средний уровень моря</v>
      </c>
      <c r="Y15" s="454"/>
      <c r="Z15" s="82"/>
      <c r="AA15" s="83"/>
      <c r="AB15" s="84"/>
      <c r="AC15" s="66"/>
      <c r="AD15" s="85"/>
      <c r="AE15" s="66"/>
      <c r="AF15" s="86"/>
      <c r="AG15" s="65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82"/>
      <c r="B16" s="523"/>
      <c r="C16" s="519"/>
      <c r="D16" s="519"/>
      <c r="E16" s="519"/>
      <c r="F16" s="519"/>
      <c r="G16" s="540"/>
      <c r="H16" s="530"/>
      <c r="I16" s="533"/>
      <c r="J16" s="533"/>
      <c r="K16" s="527"/>
      <c r="L16" s="527"/>
      <c r="M16" s="527"/>
      <c r="N16" s="540"/>
      <c r="O16" s="530"/>
      <c r="P16" s="426"/>
      <c r="Q16" s="427"/>
      <c r="R16" s="494"/>
      <c r="S16" s="494"/>
      <c r="T16" s="424"/>
      <c r="U16" s="425"/>
      <c r="V16" s="425"/>
      <c r="W16" s="425"/>
      <c r="X16" s="425"/>
      <c r="Y16" s="454"/>
      <c r="Z16" s="424" t="s">
        <v>70</v>
      </c>
      <c r="AA16" s="425"/>
      <c r="AB16" s="484"/>
      <c r="AC16" s="453" t="s">
        <v>4</v>
      </c>
      <c r="AD16" s="425"/>
      <c r="AE16" s="425" t="s">
        <v>2</v>
      </c>
      <c r="AF16" s="454"/>
      <c r="AG16" s="65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82"/>
      <c r="B17" s="523"/>
      <c r="C17" s="519"/>
      <c r="D17" s="519"/>
      <c r="E17" s="519"/>
      <c r="F17" s="519"/>
      <c r="G17" s="540"/>
      <c r="H17" s="530"/>
      <c r="I17" s="533"/>
      <c r="J17" s="533"/>
      <c r="K17" s="527"/>
      <c r="L17" s="527"/>
      <c r="M17" s="527"/>
      <c r="N17" s="540"/>
      <c r="O17" s="530"/>
      <c r="P17" s="426"/>
      <c r="Q17" s="427"/>
      <c r="R17" s="494"/>
      <c r="S17" s="494"/>
      <c r="T17" s="424"/>
      <c r="U17" s="425"/>
      <c r="V17" s="425"/>
      <c r="W17" s="425"/>
      <c r="X17" s="425"/>
      <c r="Y17" s="454"/>
      <c r="Z17" s="424"/>
      <c r="AA17" s="425"/>
      <c r="AB17" s="484"/>
      <c r="AC17" s="453"/>
      <c r="AD17" s="425"/>
      <c r="AE17" s="425"/>
      <c r="AF17" s="454"/>
      <c r="AG17" s="65"/>
      <c r="AH17" s="480"/>
      <c r="AI17" s="480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82"/>
      <c r="B18" s="524"/>
      <c r="C18" s="520"/>
      <c r="D18" s="520"/>
      <c r="E18" s="520"/>
      <c r="F18" s="520"/>
      <c r="G18" s="541"/>
      <c r="H18" s="530"/>
      <c r="I18" s="533"/>
      <c r="J18" s="533"/>
      <c r="K18" s="528"/>
      <c r="L18" s="528"/>
      <c r="M18" s="528"/>
      <c r="N18" s="541"/>
      <c r="O18" s="530"/>
      <c r="P18" s="485" t="s">
        <v>71</v>
      </c>
      <c r="Q18" s="486"/>
      <c r="R18" s="486" t="s">
        <v>71</v>
      </c>
      <c r="S18" s="486"/>
      <c r="T18" s="424"/>
      <c r="U18" s="425"/>
      <c r="V18" s="425"/>
      <c r="W18" s="425"/>
      <c r="X18" s="425"/>
      <c r="Y18" s="454"/>
      <c r="Z18" s="424"/>
      <c r="AA18" s="425"/>
      <c r="AB18" s="484"/>
      <c r="AC18" s="453"/>
      <c r="AD18" s="425"/>
      <c r="AE18" s="425"/>
      <c r="AF18" s="454"/>
      <c r="AG18" s="65"/>
      <c r="AH18" s="480"/>
      <c r="AI18" s="480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82"/>
      <c r="B19" s="522" t="str">
        <f>IF('Header Info'!C42="","",'Header Info'!C42)</f>
        <v/>
      </c>
      <c r="C19" s="525" t="str">
        <f>IF('Header Info'!C41="","",'Header Info'!C41)</f>
        <v/>
      </c>
      <c r="D19" s="525" t="str">
        <f>IF('Header Info'!C40="","",'Header Info'!C40)</f>
        <v>91.1°</v>
      </c>
      <c r="E19" s="543" t="str">
        <f>IF('Header Info'!C39="","",'Header Info'!C39)</f>
        <v>84.0°</v>
      </c>
      <c r="F19" s="543" t="str">
        <f>IF('Header Info'!C38="","",'Header Info'!C38)</f>
        <v>10.7°</v>
      </c>
      <c r="G19" s="527" t="s">
        <v>72</v>
      </c>
      <c r="H19" s="530"/>
      <c r="I19" s="525" t="str">
        <f>IF('Header Info'!C31="","",'Header Info'!C31)</f>
        <v/>
      </c>
      <c r="J19" s="525" t="str">
        <f>IF('Header Info'!C30="","",'Header Info'!C30)</f>
        <v/>
      </c>
      <c r="K19" s="527" t="str">
        <f>IF('Header Info'!C29="","",'Header Info'!C29)</f>
        <v>2520.0 м</v>
      </c>
      <c r="L19" s="527" t="str">
        <f>IF('Header Info'!C28="","",'Header Info'!C28)</f>
        <v>1144.0 м</v>
      </c>
      <c r="M19" s="527" t="str">
        <f>IF('Header Info'!C27="","",'Header Info'!C27)</f>
        <v>452.7 м</v>
      </c>
      <c r="N19" s="527" t="s">
        <v>42</v>
      </c>
      <c r="O19" s="530"/>
      <c r="P19" s="485"/>
      <c r="Q19" s="486"/>
      <c r="R19" s="486"/>
      <c r="S19" s="486"/>
      <c r="T19" s="424"/>
      <c r="U19" s="425"/>
      <c r="V19" s="425"/>
      <c r="W19" s="425"/>
      <c r="X19" s="425"/>
      <c r="Y19" s="454"/>
      <c r="Z19" s="424"/>
      <c r="AA19" s="425"/>
      <c r="AB19" s="484"/>
      <c r="AC19" s="453"/>
      <c r="AD19" s="425"/>
      <c r="AE19" s="425"/>
      <c r="AF19" s="454"/>
      <c r="AG19" s="65"/>
      <c r="AH19" s="480"/>
      <c r="AI19" s="480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82"/>
      <c r="B20" s="523"/>
      <c r="C20" s="519"/>
      <c r="D20" s="519"/>
      <c r="E20" s="519"/>
      <c r="F20" s="519"/>
      <c r="G20" s="527"/>
      <c r="H20" s="530"/>
      <c r="I20" s="519"/>
      <c r="J20" s="519"/>
      <c r="K20" s="527"/>
      <c r="L20" s="527"/>
      <c r="M20" s="527"/>
      <c r="N20" s="527"/>
      <c r="O20" s="530"/>
      <c r="P20" s="426">
        <f>'Header Info'!B21</f>
        <v>44672</v>
      </c>
      <c r="Q20" s="427"/>
      <c r="R20" s="457" t="str">
        <f>'Header Info'!B19</f>
        <v>2520.00 м</v>
      </c>
      <c r="S20" s="457"/>
      <c r="T20" s="424"/>
      <c r="U20" s="425"/>
      <c r="V20" s="425"/>
      <c r="W20" s="425"/>
      <c r="X20" s="425"/>
      <c r="Y20" s="454"/>
      <c r="Z20" s="424"/>
      <c r="AA20" s="425"/>
      <c r="AB20" s="484"/>
      <c r="AC20" s="453"/>
      <c r="AD20" s="425"/>
      <c r="AE20" s="425"/>
      <c r="AF20" s="454"/>
      <c r="AG20" s="65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82"/>
      <c r="B21" s="523"/>
      <c r="C21" s="519"/>
      <c r="D21" s="519"/>
      <c r="E21" s="519"/>
      <c r="F21" s="519"/>
      <c r="G21" s="527"/>
      <c r="H21" s="530"/>
      <c r="I21" s="519"/>
      <c r="J21" s="519"/>
      <c r="K21" s="527"/>
      <c r="L21" s="527"/>
      <c r="M21" s="527"/>
      <c r="N21" s="527"/>
      <c r="O21" s="530"/>
      <c r="P21" s="426"/>
      <c r="Q21" s="427"/>
      <c r="R21" s="457"/>
      <c r="S21" s="457"/>
      <c r="T21" s="424"/>
      <c r="U21" s="425"/>
      <c r="V21" s="425"/>
      <c r="W21" s="425"/>
      <c r="X21" s="425"/>
      <c r="Y21" s="454"/>
      <c r="Z21" s="424"/>
      <c r="AA21" s="425"/>
      <c r="AB21" s="484"/>
      <c r="AC21" s="453"/>
      <c r="AD21" s="425"/>
      <c r="AE21" s="425"/>
      <c r="AF21" s="454"/>
      <c r="AG21" s="65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82"/>
      <c r="B22" s="523"/>
      <c r="C22" s="519"/>
      <c r="D22" s="519"/>
      <c r="E22" s="519"/>
      <c r="F22" s="519"/>
      <c r="G22" s="527"/>
      <c r="H22" s="530"/>
      <c r="I22" s="519"/>
      <c r="J22" s="519"/>
      <c r="K22" s="527"/>
      <c r="L22" s="527"/>
      <c r="M22" s="527"/>
      <c r="N22" s="527"/>
      <c r="O22" s="530"/>
      <c r="P22" s="426"/>
      <c r="Q22" s="427"/>
      <c r="R22" s="457"/>
      <c r="S22" s="457"/>
      <c r="T22" s="424"/>
      <c r="U22" s="425"/>
      <c r="V22" s="425"/>
      <c r="W22" s="425"/>
      <c r="X22" s="425"/>
      <c r="Y22" s="454"/>
      <c r="Z22" s="424"/>
      <c r="AA22" s="425"/>
      <c r="AB22" s="484"/>
      <c r="AC22" s="453"/>
      <c r="AD22" s="425"/>
      <c r="AE22" s="425"/>
      <c r="AF22" s="454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82"/>
      <c r="B23" s="523"/>
      <c r="C23" s="519"/>
      <c r="D23" s="519"/>
      <c r="E23" s="519"/>
      <c r="F23" s="519"/>
      <c r="G23" s="527"/>
      <c r="H23" s="530"/>
      <c r="I23" s="519"/>
      <c r="J23" s="519"/>
      <c r="K23" s="527"/>
      <c r="L23" s="527"/>
      <c r="M23" s="527"/>
      <c r="N23" s="527"/>
      <c r="O23" s="530"/>
      <c r="P23" s="426"/>
      <c r="Q23" s="427"/>
      <c r="R23" s="457"/>
      <c r="S23" s="457"/>
      <c r="T23" s="424"/>
      <c r="U23" s="425"/>
      <c r="V23" s="509" t="s">
        <v>73</v>
      </c>
      <c r="W23" s="509"/>
      <c r="X23" s="425"/>
      <c r="Y23" s="454"/>
      <c r="Z23" s="424"/>
      <c r="AA23" s="425"/>
      <c r="AB23" s="484"/>
      <c r="AC23" s="461" t="str">
        <f>'Header Info'!E3</f>
        <v>79° 49' 45.665" В</v>
      </c>
      <c r="AD23" s="462"/>
      <c r="AE23" s="462" t="str">
        <f>'Header Info'!E2</f>
        <v>68° 31' 46.245" С</v>
      </c>
      <c r="AF23" s="463"/>
      <c r="AG23" s="65"/>
      <c r="AH23" s="444" t="str">
        <f>'Header Info'!B8</f>
        <v>W9220112</v>
      </c>
      <c r="AI23" s="445"/>
      <c r="AJ23" s="444" t="str">
        <f>'Header Info'!B7</f>
        <v>Россия</v>
      </c>
      <c r="AK23" s="445"/>
      <c r="AL23" s="444" t="str">
        <f>'Header Info'!B6</f>
        <v>БУ-3200</v>
      </c>
      <c r="AM23" s="446"/>
      <c r="AN23" s="444" t="str">
        <f>'Header Info'!B5</f>
        <v>Восточно-Мессояхское</v>
      </c>
      <c r="AO23" s="446"/>
      <c r="AP23" s="444" t="str">
        <f>'Header Info'!B3</f>
        <v>4828st03#74 Горизонтальный ствол3</v>
      </c>
      <c r="AQ23" s="446"/>
      <c r="AR23" s="444" t="str">
        <f>'Header Info'!B2</f>
        <v>АО "Мессояханефтегаз"</v>
      </c>
      <c r="AS23" s="445"/>
      <c r="AT23" s="80"/>
      <c r="AU23" s="65"/>
      <c r="AV23" s="66"/>
      <c r="AW23" s="434" t="s">
        <v>74</v>
      </c>
      <c r="AX23" s="434" t="s">
        <v>92</v>
      </c>
      <c r="AY23" s="434" t="s">
        <v>75</v>
      </c>
      <c r="AZ23" s="434" t="str">
        <f>CONCATENATE("Секция ",'Header Info'!B17," ",'Header Info'!B4)</f>
        <v>Секция 155.6 мм Горизонтальный ствол3</v>
      </c>
      <c r="BA23" s="435" t="s">
        <v>76</v>
      </c>
      <c r="BB23" s="67"/>
      <c r="BF23" s="66"/>
    </row>
    <row r="24" spans="1:58" s="64" customFormat="1" ht="7.5" customHeight="1" x14ac:dyDescent="0.2">
      <c r="A24" s="482"/>
      <c r="B24" s="523"/>
      <c r="C24" s="519"/>
      <c r="D24" s="519"/>
      <c r="E24" s="519"/>
      <c r="F24" s="519"/>
      <c r="G24" s="527"/>
      <c r="H24" s="530"/>
      <c r="I24" s="519"/>
      <c r="J24" s="519"/>
      <c r="K24" s="527"/>
      <c r="L24" s="527"/>
      <c r="M24" s="527"/>
      <c r="N24" s="527"/>
      <c r="O24" s="530"/>
      <c r="P24" s="426"/>
      <c r="Q24" s="427"/>
      <c r="R24" s="457"/>
      <c r="S24" s="457"/>
      <c r="T24" s="424"/>
      <c r="U24" s="425"/>
      <c r="V24" s="509"/>
      <c r="W24" s="509"/>
      <c r="X24" s="425"/>
      <c r="Y24" s="454"/>
      <c r="Z24" s="424"/>
      <c r="AA24" s="425"/>
      <c r="AB24" s="484"/>
      <c r="AC24" s="461"/>
      <c r="AD24" s="462"/>
      <c r="AE24" s="462"/>
      <c r="AF24" s="463"/>
      <c r="AG24" s="65"/>
      <c r="AH24" s="444"/>
      <c r="AI24" s="445"/>
      <c r="AJ24" s="444"/>
      <c r="AK24" s="445"/>
      <c r="AL24" s="444"/>
      <c r="AM24" s="446"/>
      <c r="AN24" s="444"/>
      <c r="AO24" s="446"/>
      <c r="AP24" s="444"/>
      <c r="AQ24" s="446"/>
      <c r="AR24" s="444"/>
      <c r="AS24" s="445"/>
      <c r="AT24" s="80"/>
      <c r="AU24" s="65"/>
      <c r="AV24" s="66"/>
      <c r="AW24" s="434"/>
      <c r="AX24" s="434"/>
      <c r="AY24" s="434"/>
      <c r="AZ24" s="434"/>
      <c r="BA24" s="435"/>
      <c r="BB24" s="67"/>
      <c r="BF24" s="66"/>
    </row>
    <row r="25" spans="1:58" s="64" customFormat="1" ht="7.5" customHeight="1" x14ac:dyDescent="0.2">
      <c r="A25" s="482"/>
      <c r="B25" s="523"/>
      <c r="C25" s="519"/>
      <c r="D25" s="519"/>
      <c r="E25" s="519"/>
      <c r="F25" s="519"/>
      <c r="G25" s="527"/>
      <c r="H25" s="530"/>
      <c r="I25" s="519"/>
      <c r="J25" s="519"/>
      <c r="K25" s="527"/>
      <c r="L25" s="527"/>
      <c r="M25" s="527"/>
      <c r="N25" s="527"/>
      <c r="O25" s="530"/>
      <c r="P25" s="426"/>
      <c r="Q25" s="427"/>
      <c r="R25" s="457"/>
      <c r="S25" s="457"/>
      <c r="T25" s="424"/>
      <c r="U25" s="425"/>
      <c r="V25" s="509"/>
      <c r="W25" s="509"/>
      <c r="X25" s="425"/>
      <c r="Y25" s="454"/>
      <c r="Z25" s="424"/>
      <c r="AA25" s="425"/>
      <c r="AB25" s="484"/>
      <c r="AC25" s="461"/>
      <c r="AD25" s="462"/>
      <c r="AE25" s="462"/>
      <c r="AF25" s="463"/>
      <c r="AG25" s="65"/>
      <c r="AH25" s="444"/>
      <c r="AI25" s="445"/>
      <c r="AJ25" s="444"/>
      <c r="AK25" s="445"/>
      <c r="AL25" s="444"/>
      <c r="AM25" s="446"/>
      <c r="AN25" s="444"/>
      <c r="AO25" s="446"/>
      <c r="AP25" s="444"/>
      <c r="AQ25" s="446"/>
      <c r="AR25" s="444"/>
      <c r="AS25" s="445"/>
      <c r="AT25" s="88"/>
      <c r="AU25" s="65"/>
      <c r="AV25" s="66"/>
      <c r="AW25" s="434"/>
      <c r="AX25" s="434"/>
      <c r="AY25" s="434"/>
      <c r="AZ25" s="434"/>
      <c r="BA25" s="435"/>
      <c r="BB25" s="67"/>
      <c r="BF25" s="66"/>
    </row>
    <row r="26" spans="1:58" s="64" customFormat="1" ht="7.5" customHeight="1" x14ac:dyDescent="0.2">
      <c r="A26" s="482"/>
      <c r="B26" s="523"/>
      <c r="C26" s="519"/>
      <c r="D26" s="519"/>
      <c r="E26" s="519"/>
      <c r="F26" s="519"/>
      <c r="G26" s="527"/>
      <c r="H26" s="530"/>
      <c r="I26" s="519"/>
      <c r="J26" s="519"/>
      <c r="K26" s="527"/>
      <c r="L26" s="527"/>
      <c r="M26" s="527"/>
      <c r="N26" s="527"/>
      <c r="O26" s="530"/>
      <c r="P26" s="426"/>
      <c r="Q26" s="427"/>
      <c r="R26" s="457"/>
      <c r="S26" s="457"/>
      <c r="T26" s="424"/>
      <c r="U26" s="425"/>
      <c r="V26" s="509"/>
      <c r="W26" s="509"/>
      <c r="X26" s="425"/>
      <c r="Y26" s="454"/>
      <c r="Z26" s="424" t="str">
        <f>'Header Info'!B10</f>
        <v>ННБ, Гамма, Сопротивление, Плотность, Пористость, Кавернометрия.</v>
      </c>
      <c r="AA26" s="425"/>
      <c r="AB26" s="484"/>
      <c r="AC26" s="461"/>
      <c r="AD26" s="462"/>
      <c r="AE26" s="462"/>
      <c r="AF26" s="463"/>
      <c r="AG26" s="65"/>
      <c r="AH26" s="444"/>
      <c r="AI26" s="445"/>
      <c r="AJ26" s="444"/>
      <c r="AK26" s="445"/>
      <c r="AL26" s="444"/>
      <c r="AM26" s="446"/>
      <c r="AN26" s="444"/>
      <c r="AO26" s="446"/>
      <c r="AP26" s="444"/>
      <c r="AQ26" s="446"/>
      <c r="AR26" s="444"/>
      <c r="AS26" s="445"/>
      <c r="AT26" s="66"/>
      <c r="AU26" s="65"/>
      <c r="AV26" s="66"/>
      <c r="AW26" s="434"/>
      <c r="AX26" s="434"/>
      <c r="AY26" s="434"/>
      <c r="AZ26" s="434"/>
      <c r="BA26" s="435"/>
      <c r="BB26" s="67"/>
      <c r="BF26" s="66"/>
    </row>
    <row r="27" spans="1:58" s="64" customFormat="1" ht="7.5" customHeight="1" thickBot="1" x14ac:dyDescent="0.25">
      <c r="A27" s="544"/>
      <c r="B27" s="542"/>
      <c r="C27" s="536"/>
      <c r="D27" s="536"/>
      <c r="E27" s="536"/>
      <c r="F27" s="536"/>
      <c r="G27" s="537"/>
      <c r="H27" s="531"/>
      <c r="I27" s="536"/>
      <c r="J27" s="536"/>
      <c r="K27" s="537"/>
      <c r="L27" s="537"/>
      <c r="M27" s="537"/>
      <c r="N27" s="537"/>
      <c r="O27" s="531"/>
      <c r="P27" s="506"/>
      <c r="Q27" s="507"/>
      <c r="R27" s="508"/>
      <c r="S27" s="508"/>
      <c r="T27" s="424"/>
      <c r="U27" s="425"/>
      <c r="V27" s="425" t="str">
        <f>'Header Info'!B13</f>
        <v>44.21 м</v>
      </c>
      <c r="W27" s="425"/>
      <c r="X27" s="425"/>
      <c r="Y27" s="454"/>
      <c r="Z27" s="424"/>
      <c r="AA27" s="425"/>
      <c r="AB27" s="484"/>
      <c r="AC27" s="461"/>
      <c r="AD27" s="462"/>
      <c r="AE27" s="462"/>
      <c r="AF27" s="463"/>
      <c r="AG27" s="65"/>
      <c r="AH27" s="444"/>
      <c r="AI27" s="445"/>
      <c r="AJ27" s="444"/>
      <c r="AK27" s="445"/>
      <c r="AL27" s="444"/>
      <c r="AM27" s="446"/>
      <c r="AN27" s="444"/>
      <c r="AO27" s="446"/>
      <c r="AP27" s="444"/>
      <c r="AQ27" s="446"/>
      <c r="AR27" s="444"/>
      <c r="AS27" s="445"/>
      <c r="AT27" s="66"/>
      <c r="AU27" s="65"/>
      <c r="AV27" s="66"/>
      <c r="AW27" s="434"/>
      <c r="AX27" s="434"/>
      <c r="AY27" s="434"/>
      <c r="AZ27" s="434"/>
      <c r="BA27" s="435"/>
      <c r="BB27" s="67"/>
      <c r="BF27" s="66"/>
    </row>
    <row r="28" spans="1:58" s="64" customFormat="1" ht="7.5" customHeight="1" x14ac:dyDescent="0.2">
      <c r="A28" s="421" t="s">
        <v>77</v>
      </c>
      <c r="B28" s="576" t="str">
        <f>IF('Header Info'!D42="","",'Header Info'!D42)</f>
        <v/>
      </c>
      <c r="C28" s="548" t="str">
        <f>IF('Header Info'!D41="","",'Header Info'!D41)</f>
        <v/>
      </c>
      <c r="D28" s="548" t="str">
        <f>IF('Header Info'!D40="","",'Header Info'!D40)</f>
        <v>Биополимерный KCL</v>
      </c>
      <c r="E28" s="548" t="str">
        <f>IF('Header Info'!D39="","",'Header Info'!D39)</f>
        <v>Биополимерный KCL</v>
      </c>
      <c r="F28" s="549" t="str">
        <f>IF('Header Info'!D38="","",'Header Info'!D38)</f>
        <v>Биополимерный KCL</v>
      </c>
      <c r="G28" s="558" t="s">
        <v>49</v>
      </c>
      <c r="H28" s="560" t="s">
        <v>46</v>
      </c>
      <c r="I28" s="549" t="str">
        <f>IF('Header Info'!D31="","",'Header Info'!D31)</f>
        <v/>
      </c>
      <c r="J28" s="565" t="str">
        <f>IF('Header Info'!D30="","",'Header Info'!D30)</f>
        <v/>
      </c>
      <c r="K28" s="565" t="str">
        <f>IF('Header Info'!D29="","",'Header Info'!D29)</f>
        <v/>
      </c>
      <c r="L28" s="565" t="str">
        <f>IF('Header Info'!D28="","",'Header Info'!D28)</f>
        <v>178.0 мм</v>
      </c>
      <c r="M28" s="565" t="str">
        <f>IF('Header Info'!D27="","",'Header Info'!D27)</f>
        <v>245.0 мм</v>
      </c>
      <c r="N28" s="558" t="s">
        <v>43</v>
      </c>
      <c r="O28" s="560" t="s">
        <v>39</v>
      </c>
      <c r="P28" s="89"/>
      <c r="Q28" s="90"/>
      <c r="R28" s="91"/>
      <c r="S28" s="91"/>
      <c r="T28" s="424"/>
      <c r="U28" s="425"/>
      <c r="V28" s="425"/>
      <c r="W28" s="425"/>
      <c r="X28" s="425"/>
      <c r="Y28" s="454"/>
      <c r="Z28" s="424"/>
      <c r="AA28" s="425"/>
      <c r="AB28" s="484"/>
      <c r="AC28" s="461"/>
      <c r="AD28" s="462"/>
      <c r="AE28" s="462"/>
      <c r="AF28" s="463"/>
      <c r="AG28" s="65"/>
      <c r="AH28" s="444"/>
      <c r="AI28" s="445"/>
      <c r="AJ28" s="444"/>
      <c r="AK28" s="445"/>
      <c r="AL28" s="444"/>
      <c r="AM28" s="446"/>
      <c r="AN28" s="444"/>
      <c r="AO28" s="446"/>
      <c r="AP28" s="444"/>
      <c r="AQ28" s="446"/>
      <c r="AR28" s="444"/>
      <c r="AS28" s="445"/>
      <c r="AT28" s="66"/>
      <c r="AU28" s="65"/>
      <c r="AV28" s="66"/>
      <c r="AW28" s="434"/>
      <c r="AX28" s="434"/>
      <c r="AY28" s="434"/>
      <c r="AZ28" s="434"/>
      <c r="BA28" s="435"/>
      <c r="BB28" s="67"/>
      <c r="BF28" s="66"/>
    </row>
    <row r="29" spans="1:58" s="64" customFormat="1" ht="7.5" customHeight="1" x14ac:dyDescent="0.2">
      <c r="A29" s="422"/>
      <c r="B29" s="523"/>
      <c r="C29" s="519"/>
      <c r="D29" s="519"/>
      <c r="E29" s="519"/>
      <c r="F29" s="550"/>
      <c r="G29" s="559"/>
      <c r="H29" s="561"/>
      <c r="I29" s="563"/>
      <c r="J29" s="559"/>
      <c r="K29" s="559"/>
      <c r="L29" s="559"/>
      <c r="M29" s="559"/>
      <c r="N29" s="559"/>
      <c r="O29" s="561"/>
      <c r="P29" s="424" t="s">
        <v>78</v>
      </c>
      <c r="Q29" s="425"/>
      <c r="R29" s="425" t="s">
        <v>37</v>
      </c>
      <c r="S29" s="425"/>
      <c r="T29" s="424" t="s">
        <v>79</v>
      </c>
      <c r="U29" s="425"/>
      <c r="V29" s="425"/>
      <c r="W29" s="425"/>
      <c r="X29" s="425"/>
      <c r="Y29" s="454"/>
      <c r="Z29" s="424"/>
      <c r="AA29" s="425"/>
      <c r="AB29" s="484"/>
      <c r="AC29" s="461"/>
      <c r="AD29" s="462"/>
      <c r="AE29" s="462"/>
      <c r="AF29" s="463"/>
      <c r="AG29" s="65"/>
      <c r="AH29" s="444"/>
      <c r="AI29" s="445"/>
      <c r="AJ29" s="444"/>
      <c r="AK29" s="445"/>
      <c r="AL29" s="444"/>
      <c r="AM29" s="446"/>
      <c r="AN29" s="444"/>
      <c r="AO29" s="446"/>
      <c r="AP29" s="444"/>
      <c r="AQ29" s="446"/>
      <c r="AR29" s="444"/>
      <c r="AS29" s="445"/>
      <c r="AT29" s="66"/>
      <c r="AU29" s="65"/>
      <c r="AV29" s="66"/>
      <c r="AW29" s="434"/>
      <c r="AX29" s="434"/>
      <c r="AY29" s="434"/>
      <c r="AZ29" s="434"/>
      <c r="BA29" s="435"/>
      <c r="BB29" s="67"/>
    </row>
    <row r="30" spans="1:58" s="64" customFormat="1" ht="7.5" customHeight="1" x14ac:dyDescent="0.2">
      <c r="A30" s="422"/>
      <c r="B30" s="523"/>
      <c r="C30" s="519"/>
      <c r="D30" s="519"/>
      <c r="E30" s="519"/>
      <c r="F30" s="550"/>
      <c r="G30" s="559"/>
      <c r="H30" s="561"/>
      <c r="I30" s="563"/>
      <c r="J30" s="559"/>
      <c r="K30" s="559"/>
      <c r="L30" s="559"/>
      <c r="M30" s="559"/>
      <c r="N30" s="559"/>
      <c r="O30" s="561"/>
      <c r="P30" s="424"/>
      <c r="Q30" s="425"/>
      <c r="R30" s="425"/>
      <c r="S30" s="425"/>
      <c r="T30" s="424"/>
      <c r="U30" s="425"/>
      <c r="V30" s="425"/>
      <c r="W30" s="425"/>
      <c r="X30" s="425"/>
      <c r="Y30" s="454"/>
      <c r="Z30" s="424"/>
      <c r="AA30" s="425"/>
      <c r="AB30" s="484"/>
      <c r="AC30" s="461"/>
      <c r="AD30" s="462"/>
      <c r="AE30" s="462"/>
      <c r="AF30" s="463"/>
      <c r="AG30" s="65"/>
      <c r="AH30" s="444"/>
      <c r="AI30" s="445"/>
      <c r="AJ30" s="444"/>
      <c r="AK30" s="445"/>
      <c r="AL30" s="444"/>
      <c r="AM30" s="446"/>
      <c r="AN30" s="444"/>
      <c r="AO30" s="446"/>
      <c r="AP30" s="444"/>
      <c r="AQ30" s="446"/>
      <c r="AR30" s="444"/>
      <c r="AS30" s="445"/>
      <c r="AT30" s="66"/>
      <c r="AU30" s="65"/>
      <c r="AV30" s="66"/>
      <c r="AW30" s="434"/>
      <c r="AX30" s="434"/>
      <c r="AY30" s="434"/>
      <c r="AZ30" s="434"/>
      <c r="BA30" s="435"/>
      <c r="BB30" s="67"/>
    </row>
    <row r="31" spans="1:58" s="64" customFormat="1" ht="7.5" customHeight="1" x14ac:dyDescent="0.2">
      <c r="A31" s="422"/>
      <c r="B31" s="523"/>
      <c r="C31" s="519"/>
      <c r="D31" s="519"/>
      <c r="E31" s="519"/>
      <c r="F31" s="550"/>
      <c r="G31" s="559"/>
      <c r="H31" s="561"/>
      <c r="I31" s="563"/>
      <c r="J31" s="559"/>
      <c r="K31" s="559"/>
      <c r="L31" s="559"/>
      <c r="M31" s="559"/>
      <c r="N31" s="559"/>
      <c r="O31" s="561"/>
      <c r="P31" s="424"/>
      <c r="Q31" s="425"/>
      <c r="R31" s="425"/>
      <c r="S31" s="425"/>
      <c r="T31" s="424"/>
      <c r="U31" s="425"/>
      <c r="V31" s="425"/>
      <c r="W31" s="425"/>
      <c r="X31" s="425"/>
      <c r="Y31" s="454"/>
      <c r="Z31" s="424"/>
      <c r="AA31" s="425"/>
      <c r="AB31" s="484"/>
      <c r="AC31" s="461"/>
      <c r="AD31" s="462"/>
      <c r="AE31" s="462"/>
      <c r="AF31" s="463"/>
      <c r="AG31" s="65"/>
      <c r="AH31" s="444"/>
      <c r="AI31" s="445"/>
      <c r="AJ31" s="444"/>
      <c r="AK31" s="445"/>
      <c r="AL31" s="444"/>
      <c r="AM31" s="446"/>
      <c r="AN31" s="444"/>
      <c r="AO31" s="446"/>
      <c r="AP31" s="444"/>
      <c r="AQ31" s="446"/>
      <c r="AR31" s="444"/>
      <c r="AS31" s="445"/>
      <c r="AT31" s="66"/>
      <c r="AU31" s="65"/>
      <c r="AV31" s="66"/>
      <c r="AW31" s="434"/>
      <c r="AX31" s="434"/>
      <c r="AY31" s="434"/>
      <c r="AZ31" s="434"/>
      <c r="BA31" s="435"/>
      <c r="BB31" s="67"/>
    </row>
    <row r="32" spans="1:58" s="64" customFormat="1" ht="7.5" customHeight="1" x14ac:dyDescent="0.2">
      <c r="A32" s="422"/>
      <c r="B32" s="523"/>
      <c r="C32" s="519"/>
      <c r="D32" s="519"/>
      <c r="E32" s="519"/>
      <c r="F32" s="550"/>
      <c r="G32" s="559"/>
      <c r="H32" s="561"/>
      <c r="I32" s="563"/>
      <c r="J32" s="559"/>
      <c r="K32" s="559"/>
      <c r="L32" s="559"/>
      <c r="M32" s="559"/>
      <c r="N32" s="559"/>
      <c r="O32" s="561"/>
      <c r="P32" s="424"/>
      <c r="Q32" s="425"/>
      <c r="R32" s="425"/>
      <c r="S32" s="425"/>
      <c r="T32" s="424"/>
      <c r="U32" s="425"/>
      <c r="V32" s="425"/>
      <c r="W32" s="425"/>
      <c r="X32" s="425"/>
      <c r="Y32" s="454"/>
      <c r="Z32" s="424"/>
      <c r="AA32" s="425"/>
      <c r="AB32" s="484"/>
      <c r="AC32" s="461"/>
      <c r="AD32" s="462"/>
      <c r="AE32" s="462"/>
      <c r="AF32" s="463"/>
      <c r="AG32" s="65"/>
      <c r="AH32" s="444"/>
      <c r="AI32" s="445"/>
      <c r="AJ32" s="444"/>
      <c r="AK32" s="445"/>
      <c r="AL32" s="444"/>
      <c r="AM32" s="446"/>
      <c r="AN32" s="444"/>
      <c r="AO32" s="446"/>
      <c r="AP32" s="444"/>
      <c r="AQ32" s="446"/>
      <c r="AR32" s="444"/>
      <c r="AS32" s="445"/>
      <c r="AT32" s="66"/>
      <c r="AU32" s="65"/>
      <c r="AV32" s="66"/>
      <c r="AW32" s="434"/>
      <c r="AX32" s="434"/>
      <c r="AY32" s="434"/>
      <c r="AZ32" s="434"/>
      <c r="BA32" s="435"/>
      <c r="BB32" s="67"/>
    </row>
    <row r="33" spans="1:56" s="64" customFormat="1" ht="7.5" customHeight="1" x14ac:dyDescent="0.2">
      <c r="A33" s="422"/>
      <c r="B33" s="523"/>
      <c r="C33" s="519"/>
      <c r="D33" s="519"/>
      <c r="E33" s="519"/>
      <c r="F33" s="550"/>
      <c r="G33" s="559"/>
      <c r="H33" s="561"/>
      <c r="I33" s="563"/>
      <c r="J33" s="559"/>
      <c r="K33" s="559"/>
      <c r="L33" s="559"/>
      <c r="M33" s="559"/>
      <c r="N33" s="559"/>
      <c r="O33" s="561"/>
      <c r="P33" s="424"/>
      <c r="Q33" s="425"/>
      <c r="R33" s="425"/>
      <c r="S33" s="425"/>
      <c r="T33" s="424"/>
      <c r="U33" s="425"/>
      <c r="V33" s="425" t="s">
        <v>22</v>
      </c>
      <c r="W33" s="425"/>
      <c r="X33" s="92"/>
      <c r="Y33" s="93"/>
      <c r="Z33" s="424"/>
      <c r="AA33" s="425"/>
      <c r="AB33" s="484"/>
      <c r="AC33" s="436" t="s">
        <v>80</v>
      </c>
      <c r="AD33" s="437"/>
      <c r="AE33" s="437" t="s">
        <v>81</v>
      </c>
      <c r="AF33" s="438"/>
      <c r="AG33" s="65"/>
      <c r="AH33" s="444"/>
      <c r="AI33" s="445"/>
      <c r="AJ33" s="444"/>
      <c r="AK33" s="445"/>
      <c r="AL33" s="444"/>
      <c r="AM33" s="446"/>
      <c r="AN33" s="444"/>
      <c r="AO33" s="446"/>
      <c r="AP33" s="444"/>
      <c r="AQ33" s="446"/>
      <c r="AR33" s="444"/>
      <c r="AS33" s="445"/>
      <c r="AT33" s="66"/>
      <c r="AU33" s="65"/>
      <c r="AV33" s="66"/>
      <c r="AW33" s="434"/>
      <c r="AX33" s="434"/>
      <c r="AY33" s="434"/>
      <c r="AZ33" s="434"/>
      <c r="BA33" s="435"/>
      <c r="BB33" s="67"/>
    </row>
    <row r="34" spans="1:56" s="64" customFormat="1" ht="7.5" customHeight="1" x14ac:dyDescent="0.2">
      <c r="A34" s="422"/>
      <c r="B34" s="523"/>
      <c r="C34" s="519"/>
      <c r="D34" s="519"/>
      <c r="E34" s="519"/>
      <c r="F34" s="550"/>
      <c r="G34" s="559"/>
      <c r="H34" s="561"/>
      <c r="I34" s="563"/>
      <c r="J34" s="559"/>
      <c r="K34" s="559"/>
      <c r="L34" s="559"/>
      <c r="M34" s="559"/>
      <c r="N34" s="559"/>
      <c r="O34" s="561"/>
      <c r="P34" s="424"/>
      <c r="Q34" s="425"/>
      <c r="R34" s="425"/>
      <c r="S34" s="425"/>
      <c r="T34" s="424"/>
      <c r="U34" s="425"/>
      <c r="V34" s="425"/>
      <c r="W34" s="425"/>
      <c r="X34" s="92"/>
      <c r="Y34" s="93"/>
      <c r="Z34" s="424"/>
      <c r="AA34" s="425"/>
      <c r="AB34" s="484"/>
      <c r="AC34" s="436"/>
      <c r="AD34" s="437"/>
      <c r="AE34" s="437"/>
      <c r="AF34" s="438"/>
      <c r="AG34" s="65"/>
      <c r="AH34" s="444"/>
      <c r="AI34" s="445"/>
      <c r="AJ34" s="444"/>
      <c r="AK34" s="445"/>
      <c r="AL34" s="444"/>
      <c r="AM34" s="446"/>
      <c r="AN34" s="444"/>
      <c r="AO34" s="446"/>
      <c r="AP34" s="444"/>
      <c r="AQ34" s="446"/>
      <c r="AR34" s="444"/>
      <c r="AS34" s="445"/>
      <c r="AT34" s="66"/>
      <c r="AU34" s="65"/>
      <c r="AV34" s="66"/>
      <c r="AW34" s="434"/>
      <c r="AX34" s="434"/>
      <c r="AY34" s="434"/>
      <c r="AZ34" s="434"/>
      <c r="BA34" s="435"/>
      <c r="BB34" s="67"/>
    </row>
    <row r="35" spans="1:56" s="64" customFormat="1" ht="7.5" customHeight="1" x14ac:dyDescent="0.2">
      <c r="A35" s="422"/>
      <c r="B35" s="524"/>
      <c r="C35" s="520"/>
      <c r="D35" s="520"/>
      <c r="E35" s="520"/>
      <c r="F35" s="551"/>
      <c r="G35" s="559"/>
      <c r="H35" s="561"/>
      <c r="I35" s="564"/>
      <c r="J35" s="559"/>
      <c r="K35" s="559"/>
      <c r="L35" s="559"/>
      <c r="M35" s="559"/>
      <c r="N35" s="559"/>
      <c r="O35" s="561"/>
      <c r="P35" s="424"/>
      <c r="Q35" s="425"/>
      <c r="R35" s="425"/>
      <c r="S35" s="425"/>
      <c r="T35" s="424"/>
      <c r="U35" s="425"/>
      <c r="V35" s="425"/>
      <c r="W35" s="425"/>
      <c r="X35" s="66"/>
      <c r="Y35" s="67"/>
      <c r="Z35" s="424"/>
      <c r="AA35" s="425"/>
      <c r="AB35" s="484"/>
      <c r="AC35" s="439">
        <f>'Header Info'!E4</f>
        <v>0</v>
      </c>
      <c r="AD35" s="440"/>
      <c r="AE35" s="464">
        <f>'Header Info'!E5</f>
        <v>0</v>
      </c>
      <c r="AF35" s="465"/>
      <c r="AG35" s="65"/>
      <c r="AH35" s="444"/>
      <c r="AI35" s="445"/>
      <c r="AJ35" s="444"/>
      <c r="AK35" s="445"/>
      <c r="AL35" s="444"/>
      <c r="AM35" s="446"/>
      <c r="AN35" s="444"/>
      <c r="AO35" s="446"/>
      <c r="AP35" s="444"/>
      <c r="AQ35" s="446"/>
      <c r="AR35" s="444"/>
      <c r="AS35" s="445"/>
      <c r="AT35" s="66"/>
      <c r="AU35" s="65"/>
      <c r="AV35" s="66"/>
      <c r="AW35" s="434"/>
      <c r="AX35" s="434"/>
      <c r="AY35" s="434"/>
      <c r="AZ35" s="434"/>
      <c r="BA35" s="435"/>
      <c r="BB35" s="67"/>
    </row>
    <row r="36" spans="1:56" s="64" customFormat="1" ht="7.5" customHeight="1" x14ac:dyDescent="0.2">
      <c r="A36" s="422"/>
      <c r="B36" s="552" t="str">
        <f>IF('Header Info'!E42="","",'Header Info'!E42)</f>
        <v/>
      </c>
      <c r="C36" s="543" t="str">
        <f>IF('Header Info'!E41="","",'Header Info'!E41)</f>
        <v/>
      </c>
      <c r="D36" s="543">
        <f>IF('Header Info'!E40="","",'Header Info'!E40)</f>
        <v>1.1200000000000001</v>
      </c>
      <c r="E36" s="543">
        <f>IF('Header Info'!E39="","",'Header Info'!E39)</f>
        <v>1.24</v>
      </c>
      <c r="F36" s="543">
        <f>IF('Header Info'!E38="","",'Header Info'!E38)</f>
        <v>1.1299999999999999</v>
      </c>
      <c r="G36" s="557" t="s">
        <v>82</v>
      </c>
      <c r="H36" s="561"/>
      <c r="I36" s="557" t="str">
        <f>IF('Header Info'!E31="","",'Header Info'!E31)</f>
        <v/>
      </c>
      <c r="J36" s="557" t="str">
        <f>IF('Header Info'!E30="","",'Header Info'!E30)</f>
        <v/>
      </c>
      <c r="K36" s="557" t="str">
        <f>IF('Header Info'!E29="","",'Header Info'!E29)</f>
        <v/>
      </c>
      <c r="L36" s="557" t="str">
        <f>IF('Header Info'!E28="","",'Header Info'!E28)</f>
        <v>-</v>
      </c>
      <c r="M36" s="557" t="str">
        <f>IF('Header Info'!E27="","",'Header Info'!E27)</f>
        <v>-</v>
      </c>
      <c r="N36" s="557" t="s">
        <v>44</v>
      </c>
      <c r="O36" s="561"/>
      <c r="P36" s="424"/>
      <c r="Q36" s="425"/>
      <c r="R36" s="425"/>
      <c r="S36" s="425"/>
      <c r="T36" s="424"/>
      <c r="U36" s="425"/>
      <c r="V36" s="425"/>
      <c r="W36" s="425"/>
      <c r="X36" s="66"/>
      <c r="Y36" s="67"/>
      <c r="Z36" s="424"/>
      <c r="AA36" s="425"/>
      <c r="AB36" s="484"/>
      <c r="AC36" s="441"/>
      <c r="AD36" s="440"/>
      <c r="AE36" s="440"/>
      <c r="AF36" s="465"/>
      <c r="AG36" s="65"/>
      <c r="AH36" s="444"/>
      <c r="AI36" s="445"/>
      <c r="AJ36" s="444"/>
      <c r="AK36" s="445"/>
      <c r="AL36" s="444"/>
      <c r="AM36" s="446"/>
      <c r="AN36" s="444"/>
      <c r="AO36" s="446"/>
      <c r="AP36" s="444"/>
      <c r="AQ36" s="446"/>
      <c r="AR36" s="444"/>
      <c r="AS36" s="445"/>
      <c r="AT36" s="66"/>
      <c r="AU36" s="65"/>
      <c r="AV36" s="66"/>
      <c r="AW36" s="434"/>
      <c r="AX36" s="434"/>
      <c r="AY36" s="434"/>
      <c r="AZ36" s="434"/>
      <c r="BA36" s="435"/>
      <c r="BB36" s="67"/>
    </row>
    <row r="37" spans="1:56" s="64" customFormat="1" ht="7.5" customHeight="1" x14ac:dyDescent="0.2">
      <c r="A37" s="422"/>
      <c r="B37" s="553"/>
      <c r="C37" s="555"/>
      <c r="D37" s="555"/>
      <c r="E37" s="555"/>
      <c r="F37" s="555"/>
      <c r="G37" s="557"/>
      <c r="H37" s="559"/>
      <c r="I37" s="557"/>
      <c r="J37" s="557"/>
      <c r="K37" s="557"/>
      <c r="L37" s="557"/>
      <c r="M37" s="557"/>
      <c r="N37" s="557"/>
      <c r="O37" s="559"/>
      <c r="P37" s="426">
        <f>'Header Info'!B23</f>
        <v>44669</v>
      </c>
      <c r="Q37" s="427"/>
      <c r="R37" s="430">
        <f>'Header Info'!B22</f>
        <v>1</v>
      </c>
      <c r="S37" s="430"/>
      <c r="T37" s="467" t="str">
        <f>'Header Info'!B16</f>
        <v>2520.00 м</v>
      </c>
      <c r="U37" s="457"/>
      <c r="V37" s="425"/>
      <c r="W37" s="425"/>
      <c r="X37" s="82"/>
      <c r="Y37" s="94"/>
      <c r="Z37" s="424"/>
      <c r="AA37" s="425"/>
      <c r="AB37" s="484"/>
      <c r="AC37" s="441"/>
      <c r="AD37" s="440"/>
      <c r="AE37" s="440"/>
      <c r="AF37" s="465"/>
      <c r="AG37" s="65"/>
      <c r="AH37" s="444"/>
      <c r="AI37" s="445"/>
      <c r="AJ37" s="444"/>
      <c r="AK37" s="445"/>
      <c r="AL37" s="444"/>
      <c r="AM37" s="446"/>
      <c r="AN37" s="444"/>
      <c r="AO37" s="446"/>
      <c r="AP37" s="444"/>
      <c r="AQ37" s="446"/>
      <c r="AR37" s="444"/>
      <c r="AS37" s="445"/>
      <c r="AT37" s="66"/>
      <c r="AU37" s="65"/>
      <c r="AV37" s="66"/>
      <c r="AW37" s="434"/>
      <c r="AX37" s="434"/>
      <c r="AY37" s="434"/>
      <c r="AZ37" s="434"/>
      <c r="BA37" s="435"/>
      <c r="BB37" s="67"/>
    </row>
    <row r="38" spans="1:56" s="64" customFormat="1" ht="7.5" customHeight="1" x14ac:dyDescent="0.2">
      <c r="A38" s="422"/>
      <c r="B38" s="553"/>
      <c r="C38" s="555"/>
      <c r="D38" s="555"/>
      <c r="E38" s="555"/>
      <c r="F38" s="555"/>
      <c r="G38" s="557"/>
      <c r="H38" s="559"/>
      <c r="I38" s="557"/>
      <c r="J38" s="557"/>
      <c r="K38" s="557"/>
      <c r="L38" s="557"/>
      <c r="M38" s="557"/>
      <c r="N38" s="557"/>
      <c r="O38" s="559"/>
      <c r="P38" s="426"/>
      <c r="Q38" s="427"/>
      <c r="R38" s="430"/>
      <c r="S38" s="430"/>
      <c r="T38" s="467"/>
      <c r="U38" s="457"/>
      <c r="V38" s="425"/>
      <c r="W38" s="425"/>
      <c r="X38" s="82"/>
      <c r="Y38" s="94"/>
      <c r="Z38" s="424"/>
      <c r="AA38" s="425"/>
      <c r="AB38" s="484"/>
      <c r="AC38" s="441"/>
      <c r="AD38" s="440"/>
      <c r="AE38" s="440"/>
      <c r="AF38" s="465"/>
      <c r="AG38" s="65"/>
      <c r="AH38" s="444"/>
      <c r="AI38" s="445"/>
      <c r="AJ38" s="444"/>
      <c r="AK38" s="445"/>
      <c r="AL38" s="444"/>
      <c r="AM38" s="446"/>
      <c r="AN38" s="444"/>
      <c r="AO38" s="446"/>
      <c r="AP38" s="444"/>
      <c r="AQ38" s="446"/>
      <c r="AR38" s="444"/>
      <c r="AS38" s="445"/>
      <c r="AT38" s="66"/>
      <c r="AU38" s="65"/>
      <c r="AV38" s="66"/>
      <c r="AW38" s="434"/>
      <c r="AX38" s="434"/>
      <c r="AY38" s="434"/>
      <c r="AZ38" s="434"/>
      <c r="BA38" s="435"/>
      <c r="BB38" s="67"/>
    </row>
    <row r="39" spans="1:56" s="64" customFormat="1" ht="7.5" customHeight="1" x14ac:dyDescent="0.2">
      <c r="A39" s="422"/>
      <c r="B39" s="553"/>
      <c r="C39" s="555"/>
      <c r="D39" s="555"/>
      <c r="E39" s="555"/>
      <c r="F39" s="555"/>
      <c r="G39" s="557"/>
      <c r="H39" s="559"/>
      <c r="I39" s="557"/>
      <c r="J39" s="557"/>
      <c r="K39" s="557"/>
      <c r="L39" s="557"/>
      <c r="M39" s="557"/>
      <c r="N39" s="557"/>
      <c r="O39" s="559"/>
      <c r="P39" s="426"/>
      <c r="Q39" s="427"/>
      <c r="R39" s="430"/>
      <c r="S39" s="430"/>
      <c r="T39" s="467"/>
      <c r="U39" s="457"/>
      <c r="V39" s="425"/>
      <c r="W39" s="425"/>
      <c r="X39" s="66"/>
      <c r="Y39" s="67"/>
      <c r="Z39" s="424"/>
      <c r="AA39" s="425"/>
      <c r="AB39" s="484"/>
      <c r="AC39" s="441"/>
      <c r="AD39" s="440"/>
      <c r="AE39" s="440"/>
      <c r="AF39" s="465"/>
      <c r="AG39" s="65"/>
      <c r="AH39" s="444"/>
      <c r="AI39" s="445"/>
      <c r="AJ39" s="444"/>
      <c r="AK39" s="445"/>
      <c r="AL39" s="444"/>
      <c r="AM39" s="446"/>
      <c r="AN39" s="444"/>
      <c r="AO39" s="446"/>
      <c r="AP39" s="444"/>
      <c r="AQ39" s="446"/>
      <c r="AR39" s="444"/>
      <c r="AS39" s="445"/>
      <c r="AT39" s="66"/>
      <c r="AU39" s="65"/>
      <c r="AV39" s="66"/>
      <c r="AW39" s="434"/>
      <c r="AX39" s="434"/>
      <c r="AY39" s="434"/>
      <c r="AZ39" s="434"/>
      <c r="BA39" s="435"/>
      <c r="BB39" s="67"/>
    </row>
    <row r="40" spans="1:56" s="64" customFormat="1" ht="7.5" customHeight="1" x14ac:dyDescent="0.2">
      <c r="A40" s="422"/>
      <c r="B40" s="553"/>
      <c r="C40" s="555"/>
      <c r="D40" s="555"/>
      <c r="E40" s="555"/>
      <c r="F40" s="555"/>
      <c r="G40" s="557"/>
      <c r="H40" s="559"/>
      <c r="I40" s="557"/>
      <c r="J40" s="557"/>
      <c r="K40" s="557"/>
      <c r="L40" s="557"/>
      <c r="M40" s="557"/>
      <c r="N40" s="557"/>
      <c r="O40" s="559"/>
      <c r="P40" s="426"/>
      <c r="Q40" s="427"/>
      <c r="R40" s="430"/>
      <c r="S40" s="430"/>
      <c r="T40" s="467"/>
      <c r="U40" s="457"/>
      <c r="V40" s="425"/>
      <c r="W40" s="425"/>
      <c r="X40" s="66"/>
      <c r="Y40" s="67"/>
      <c r="Z40" s="424"/>
      <c r="AA40" s="425"/>
      <c r="AB40" s="484"/>
      <c r="AC40" s="441"/>
      <c r="AD40" s="440"/>
      <c r="AE40" s="440"/>
      <c r="AF40" s="465"/>
      <c r="AG40" s="65"/>
      <c r="AH40" s="444"/>
      <c r="AI40" s="445"/>
      <c r="AJ40" s="444"/>
      <c r="AK40" s="445"/>
      <c r="AL40" s="444"/>
      <c r="AM40" s="446"/>
      <c r="AN40" s="444"/>
      <c r="AO40" s="446"/>
      <c r="AP40" s="444"/>
      <c r="AQ40" s="446"/>
      <c r="AR40" s="444"/>
      <c r="AS40" s="445"/>
      <c r="AT40" s="66"/>
      <c r="AU40" s="65"/>
      <c r="AV40" s="66"/>
      <c r="AW40" s="434"/>
      <c r="AX40" s="434"/>
      <c r="AY40" s="434"/>
      <c r="AZ40" s="434"/>
      <c r="BA40" s="435"/>
      <c r="BB40" s="67"/>
    </row>
    <row r="41" spans="1:56" s="64" customFormat="1" ht="7.5" customHeight="1" x14ac:dyDescent="0.2">
      <c r="A41" s="422"/>
      <c r="B41" s="553"/>
      <c r="C41" s="555"/>
      <c r="D41" s="555"/>
      <c r="E41" s="555"/>
      <c r="F41" s="555"/>
      <c r="G41" s="557"/>
      <c r="H41" s="559"/>
      <c r="I41" s="557"/>
      <c r="J41" s="557"/>
      <c r="K41" s="557"/>
      <c r="L41" s="557"/>
      <c r="M41" s="557"/>
      <c r="N41" s="557"/>
      <c r="O41" s="559"/>
      <c r="P41" s="426"/>
      <c r="Q41" s="427"/>
      <c r="R41" s="430"/>
      <c r="S41" s="430"/>
      <c r="T41" s="467"/>
      <c r="U41" s="457"/>
      <c r="V41" s="425"/>
      <c r="W41" s="425"/>
      <c r="X41" s="66"/>
      <c r="Y41" s="67"/>
      <c r="Z41" s="424"/>
      <c r="AA41" s="425"/>
      <c r="AB41" s="484"/>
      <c r="AC41" s="441"/>
      <c r="AD41" s="440"/>
      <c r="AE41" s="440"/>
      <c r="AF41" s="465"/>
      <c r="AG41" s="65"/>
      <c r="AH41" s="444"/>
      <c r="AI41" s="445"/>
      <c r="AJ41" s="444"/>
      <c r="AK41" s="445"/>
      <c r="AL41" s="444"/>
      <c r="AM41" s="446"/>
      <c r="AN41" s="444"/>
      <c r="AO41" s="446"/>
      <c r="AP41" s="444"/>
      <c r="AQ41" s="446"/>
      <c r="AR41" s="444"/>
      <c r="AS41" s="445"/>
      <c r="AT41" s="66"/>
      <c r="AU41" s="65"/>
      <c r="AV41" s="66"/>
      <c r="AW41" s="434"/>
      <c r="AX41" s="434"/>
      <c r="AY41" s="434"/>
      <c r="AZ41" s="434"/>
      <c r="BA41" s="435"/>
      <c r="BB41" s="67"/>
    </row>
    <row r="42" spans="1:56" s="64" customFormat="1" ht="7.5" customHeight="1" x14ac:dyDescent="0.2">
      <c r="A42" s="422"/>
      <c r="B42" s="553"/>
      <c r="C42" s="555"/>
      <c r="D42" s="555"/>
      <c r="E42" s="555"/>
      <c r="F42" s="555"/>
      <c r="G42" s="557"/>
      <c r="H42" s="559"/>
      <c r="I42" s="557"/>
      <c r="J42" s="557"/>
      <c r="K42" s="557"/>
      <c r="L42" s="557"/>
      <c r="M42" s="557"/>
      <c r="N42" s="557"/>
      <c r="O42" s="559"/>
      <c r="P42" s="426"/>
      <c r="Q42" s="427"/>
      <c r="R42" s="430"/>
      <c r="S42" s="430"/>
      <c r="T42" s="467"/>
      <c r="U42" s="457"/>
      <c r="V42" s="425"/>
      <c r="W42" s="425"/>
      <c r="X42" s="66"/>
      <c r="Y42" s="67"/>
      <c r="Z42" s="424"/>
      <c r="AA42" s="425"/>
      <c r="AB42" s="484"/>
      <c r="AC42" s="441"/>
      <c r="AD42" s="440"/>
      <c r="AE42" s="440"/>
      <c r="AF42" s="465"/>
      <c r="AG42" s="65"/>
      <c r="AH42" s="444"/>
      <c r="AI42" s="445"/>
      <c r="AJ42" s="444"/>
      <c r="AK42" s="445"/>
      <c r="AL42" s="444"/>
      <c r="AM42" s="446"/>
      <c r="AN42" s="444"/>
      <c r="AO42" s="446"/>
      <c r="AP42" s="444"/>
      <c r="AQ42" s="446"/>
      <c r="AR42" s="444"/>
      <c r="AS42" s="445"/>
      <c r="AT42" s="66"/>
      <c r="AU42" s="65"/>
      <c r="AV42" s="66"/>
      <c r="AW42" s="434"/>
      <c r="AX42" s="434"/>
      <c r="AY42" s="434"/>
      <c r="AZ42" s="434"/>
      <c r="BA42" s="435"/>
      <c r="BB42" s="67"/>
    </row>
    <row r="43" spans="1:56" s="64" customFormat="1" ht="7.5" customHeight="1" x14ac:dyDescent="0.2">
      <c r="A43" s="422"/>
      <c r="B43" s="553"/>
      <c r="C43" s="555"/>
      <c r="D43" s="555"/>
      <c r="E43" s="555"/>
      <c r="F43" s="555"/>
      <c r="G43" s="557"/>
      <c r="H43" s="559"/>
      <c r="I43" s="557"/>
      <c r="J43" s="557"/>
      <c r="K43" s="557"/>
      <c r="L43" s="557"/>
      <c r="M43" s="557"/>
      <c r="N43" s="557"/>
      <c r="O43" s="559"/>
      <c r="P43" s="426"/>
      <c r="Q43" s="427"/>
      <c r="R43" s="430"/>
      <c r="S43" s="430"/>
      <c r="T43" s="467"/>
      <c r="U43" s="457"/>
      <c r="V43" s="425"/>
      <c r="W43" s="425"/>
      <c r="X43" s="66"/>
      <c r="Y43" s="67"/>
      <c r="Z43" s="424"/>
      <c r="AA43" s="425"/>
      <c r="AB43" s="484"/>
      <c r="AC43" s="441"/>
      <c r="AD43" s="440"/>
      <c r="AE43" s="440"/>
      <c r="AF43" s="465"/>
      <c r="AG43" s="65"/>
      <c r="AH43" s="444"/>
      <c r="AI43" s="445"/>
      <c r="AJ43" s="444"/>
      <c r="AK43" s="445"/>
      <c r="AL43" s="444"/>
      <c r="AM43" s="446"/>
      <c r="AN43" s="444"/>
      <c r="AO43" s="446"/>
      <c r="AP43" s="444"/>
      <c r="AQ43" s="446"/>
      <c r="AR43" s="444"/>
      <c r="AS43" s="445"/>
      <c r="AT43" s="66"/>
      <c r="AU43" s="65"/>
      <c r="AV43" s="66"/>
      <c r="AW43" s="434"/>
      <c r="AX43" s="434"/>
      <c r="AY43" s="434"/>
      <c r="AZ43" s="434"/>
      <c r="BA43" s="435"/>
      <c r="BB43" s="67"/>
    </row>
    <row r="44" spans="1:56" s="64" customFormat="1" ht="7.5" customHeight="1" x14ac:dyDescent="0.2">
      <c r="A44" s="422"/>
      <c r="B44" s="554"/>
      <c r="C44" s="556"/>
      <c r="D44" s="556"/>
      <c r="E44" s="556"/>
      <c r="F44" s="556"/>
      <c r="G44" s="557"/>
      <c r="H44" s="559"/>
      <c r="I44" s="557"/>
      <c r="J44" s="557"/>
      <c r="K44" s="557"/>
      <c r="L44" s="557"/>
      <c r="M44" s="557"/>
      <c r="N44" s="557"/>
      <c r="O44" s="559"/>
      <c r="P44" s="428"/>
      <c r="Q44" s="429"/>
      <c r="R44" s="430"/>
      <c r="S44" s="430"/>
      <c r="T44" s="467"/>
      <c r="U44" s="457"/>
      <c r="V44" s="425"/>
      <c r="W44" s="425"/>
      <c r="X44" s="66"/>
      <c r="Y44" s="67"/>
      <c r="Z44" s="424"/>
      <c r="AA44" s="425"/>
      <c r="AB44" s="484"/>
      <c r="AC44" s="442"/>
      <c r="AD44" s="443"/>
      <c r="AE44" s="443"/>
      <c r="AF44" s="466"/>
      <c r="AG44" s="65"/>
      <c r="AH44" s="444"/>
      <c r="AI44" s="445"/>
      <c r="AJ44" s="444"/>
      <c r="AK44" s="445"/>
      <c r="AL44" s="444"/>
      <c r="AM44" s="446"/>
      <c r="AN44" s="444"/>
      <c r="AO44" s="446"/>
      <c r="AP44" s="444"/>
      <c r="AQ44" s="446"/>
      <c r="AR44" s="444"/>
      <c r="AS44" s="445"/>
      <c r="AT44" s="66"/>
      <c r="AU44" s="65"/>
      <c r="AV44" s="66"/>
      <c r="AW44" s="434"/>
      <c r="AX44" s="434"/>
      <c r="AY44" s="434"/>
      <c r="AZ44" s="434"/>
      <c r="BA44" s="435"/>
      <c r="BB44" s="67"/>
    </row>
    <row r="45" spans="1:56" s="64" customFormat="1" ht="7.5" customHeight="1" x14ac:dyDescent="0.2">
      <c r="A45" s="416" t="s">
        <v>83</v>
      </c>
      <c r="B45" s="570" t="str">
        <f>IF('Header Info'!F42="","",'Header Info'!F42)</f>
        <v/>
      </c>
      <c r="C45" s="571" t="str">
        <f>IF('Header Info'!F41="","",'Header Info'!F41)</f>
        <v/>
      </c>
      <c r="D45" s="571" t="str">
        <f>IF('Header Info'!F40="","",'Header Info'!F40)</f>
        <v>1144.0 м</v>
      </c>
      <c r="E45" s="571" t="str">
        <f>IF('Header Info'!F39="","",'Header Info'!F39)</f>
        <v>452.7 м</v>
      </c>
      <c r="F45" s="572" t="str">
        <f>IF('Header Info'!F38="","",'Header Info'!F38)</f>
        <v>0.0 м</v>
      </c>
      <c r="G45" s="566" t="s">
        <v>41</v>
      </c>
      <c r="H45" s="559"/>
      <c r="I45" s="567" t="str">
        <f>IF('Header Info'!F31="","",'Header Info'!F31)</f>
        <v/>
      </c>
      <c r="J45" s="566" t="str">
        <f>IF('Header Info'!F30="","",'Header Info'!F30)</f>
        <v/>
      </c>
      <c r="K45" s="566" t="str">
        <f>IF('Header Info'!F29="","",'Header Info'!F29)</f>
        <v/>
      </c>
      <c r="L45" s="566" t="str">
        <f>IF('Header Info'!F28="","",'Header Info'!F28)</f>
        <v>0.0 м</v>
      </c>
      <c r="M45" s="566" t="str">
        <f>IF('Header Info'!F27="","",'Header Info'!F27)</f>
        <v>0.0 м</v>
      </c>
      <c r="N45" s="566" t="s">
        <v>41</v>
      </c>
      <c r="O45" s="559"/>
      <c r="P45" s="447" t="s">
        <v>84</v>
      </c>
      <c r="Q45" s="448"/>
      <c r="R45" s="448"/>
      <c r="S45" s="448"/>
      <c r="T45" s="448"/>
      <c r="U45" s="448"/>
      <c r="V45" s="448"/>
      <c r="W45" s="448"/>
      <c r="X45" s="448"/>
      <c r="Y45" s="449"/>
      <c r="Z45" s="424"/>
      <c r="AA45" s="425"/>
      <c r="AB45" s="484"/>
      <c r="AC45" s="95"/>
      <c r="AD45" s="85"/>
      <c r="AE45" s="83"/>
      <c r="AF45" s="86"/>
      <c r="AG45" s="65"/>
      <c r="AH45" s="444"/>
      <c r="AI45" s="445"/>
      <c r="AJ45" s="444"/>
      <c r="AK45" s="445"/>
      <c r="AL45" s="444"/>
      <c r="AM45" s="446"/>
      <c r="AN45" s="444"/>
      <c r="AO45" s="446"/>
      <c r="AP45" s="444"/>
      <c r="AQ45" s="446"/>
      <c r="AR45" s="444"/>
      <c r="AS45" s="445"/>
      <c r="AT45" s="66"/>
      <c r="AU45" s="65"/>
      <c r="AV45" s="66"/>
      <c r="AW45" s="434"/>
      <c r="AX45" s="434"/>
      <c r="AY45" s="434"/>
      <c r="AZ45" s="434"/>
      <c r="BA45" s="435"/>
      <c r="BB45" s="67"/>
    </row>
    <row r="46" spans="1:56" s="64" customFormat="1" ht="7.5" customHeight="1" x14ac:dyDescent="0.2">
      <c r="A46" s="416"/>
      <c r="B46" s="523"/>
      <c r="C46" s="519"/>
      <c r="D46" s="519"/>
      <c r="E46" s="519"/>
      <c r="F46" s="519"/>
      <c r="G46" s="566"/>
      <c r="H46" s="559"/>
      <c r="I46" s="568"/>
      <c r="J46" s="566"/>
      <c r="K46" s="566"/>
      <c r="L46" s="566"/>
      <c r="M46" s="566"/>
      <c r="N46" s="566"/>
      <c r="O46" s="559"/>
      <c r="P46" s="450"/>
      <c r="Q46" s="451"/>
      <c r="R46" s="451"/>
      <c r="S46" s="451"/>
      <c r="T46" s="451"/>
      <c r="U46" s="451"/>
      <c r="V46" s="451"/>
      <c r="W46" s="451"/>
      <c r="X46" s="451"/>
      <c r="Y46" s="452"/>
      <c r="Z46" s="424"/>
      <c r="AA46" s="425"/>
      <c r="AB46" s="484"/>
      <c r="AC46" s="453" t="s">
        <v>85</v>
      </c>
      <c r="AD46" s="425"/>
      <c r="AE46" s="425" t="s">
        <v>86</v>
      </c>
      <c r="AF46" s="454"/>
      <c r="AG46" s="65"/>
      <c r="AH46" s="444"/>
      <c r="AI46" s="445"/>
      <c r="AJ46" s="444"/>
      <c r="AK46" s="445"/>
      <c r="AL46" s="444"/>
      <c r="AM46" s="446"/>
      <c r="AN46" s="444"/>
      <c r="AO46" s="446"/>
      <c r="AP46" s="444"/>
      <c r="AQ46" s="446"/>
      <c r="AR46" s="444"/>
      <c r="AS46" s="445"/>
      <c r="AT46" s="66"/>
      <c r="AU46" s="65"/>
      <c r="AV46" s="66"/>
      <c r="AW46" s="434"/>
      <c r="AX46" s="434"/>
      <c r="AY46" s="434"/>
      <c r="AZ46" s="434"/>
      <c r="BA46" s="435"/>
      <c r="BB46" s="67"/>
      <c r="BC46" s="96"/>
      <c r="BD46" s="96"/>
    </row>
    <row r="47" spans="1:56" s="64" customFormat="1" ht="7.5" customHeight="1" x14ac:dyDescent="0.2">
      <c r="A47" s="416"/>
      <c r="B47" s="523"/>
      <c r="C47" s="519"/>
      <c r="D47" s="519"/>
      <c r="E47" s="519"/>
      <c r="F47" s="519"/>
      <c r="G47" s="566"/>
      <c r="H47" s="559"/>
      <c r="I47" s="568"/>
      <c r="J47" s="566"/>
      <c r="K47" s="566"/>
      <c r="L47" s="566"/>
      <c r="M47" s="566"/>
      <c r="N47" s="566"/>
      <c r="O47" s="559"/>
      <c r="P47" s="97"/>
      <c r="Q47" s="455" t="s">
        <v>87</v>
      </c>
      <c r="R47" s="455"/>
      <c r="S47" s="455" t="s">
        <v>88</v>
      </c>
      <c r="T47" s="455"/>
      <c r="U47" s="455" t="s">
        <v>89</v>
      </c>
      <c r="V47" s="455"/>
      <c r="W47" s="455" t="s">
        <v>90</v>
      </c>
      <c r="X47" s="456"/>
      <c r="Y47" s="86"/>
      <c r="Z47" s="424"/>
      <c r="AA47" s="425"/>
      <c r="AB47" s="484"/>
      <c r="AC47" s="453"/>
      <c r="AD47" s="425"/>
      <c r="AE47" s="425"/>
      <c r="AF47" s="454"/>
      <c r="AG47" s="65"/>
      <c r="AH47" s="444"/>
      <c r="AI47" s="445"/>
      <c r="AJ47" s="444"/>
      <c r="AK47" s="445"/>
      <c r="AL47" s="444"/>
      <c r="AM47" s="446"/>
      <c r="AN47" s="444"/>
      <c r="AO47" s="446"/>
      <c r="AP47" s="444"/>
      <c r="AQ47" s="446"/>
      <c r="AR47" s="444"/>
      <c r="AS47" s="445"/>
      <c r="AT47" s="66"/>
      <c r="AU47" s="65"/>
      <c r="AV47" s="66"/>
      <c r="AW47" s="434"/>
      <c r="AX47" s="434"/>
      <c r="AY47" s="434"/>
      <c r="AZ47" s="434"/>
      <c r="BA47" s="435"/>
      <c r="BB47" s="67"/>
      <c r="BC47" s="96"/>
      <c r="BD47" s="96"/>
    </row>
    <row r="48" spans="1:56" s="64" customFormat="1" ht="7.5" customHeight="1" x14ac:dyDescent="0.2">
      <c r="A48" s="416"/>
      <c r="B48" s="523"/>
      <c r="C48" s="519"/>
      <c r="D48" s="519"/>
      <c r="E48" s="519"/>
      <c r="F48" s="519"/>
      <c r="G48" s="566"/>
      <c r="H48" s="559"/>
      <c r="I48" s="568"/>
      <c r="J48" s="566"/>
      <c r="K48" s="566"/>
      <c r="L48" s="566"/>
      <c r="M48" s="566"/>
      <c r="N48" s="566"/>
      <c r="O48" s="559"/>
      <c r="P48" s="98"/>
      <c r="Q48" s="425"/>
      <c r="R48" s="425"/>
      <c r="S48" s="425"/>
      <c r="T48" s="425"/>
      <c r="U48" s="425"/>
      <c r="V48" s="425"/>
      <c r="W48" s="425"/>
      <c r="X48" s="454"/>
      <c r="Y48" s="99"/>
      <c r="Z48" s="424"/>
      <c r="AA48" s="425"/>
      <c r="AB48" s="484"/>
      <c r="AC48" s="453"/>
      <c r="AD48" s="425"/>
      <c r="AE48" s="425"/>
      <c r="AF48" s="454"/>
      <c r="AG48" s="65"/>
      <c r="AH48" s="444"/>
      <c r="AI48" s="445"/>
      <c r="AJ48" s="444"/>
      <c r="AK48" s="445"/>
      <c r="AL48" s="444"/>
      <c r="AM48" s="446"/>
      <c r="AN48" s="444"/>
      <c r="AO48" s="446"/>
      <c r="AP48" s="444"/>
      <c r="AQ48" s="446"/>
      <c r="AR48" s="444"/>
      <c r="AS48" s="445"/>
      <c r="AT48" s="66"/>
      <c r="AU48" s="65"/>
      <c r="AV48" s="66"/>
      <c r="AW48" s="434"/>
      <c r="AX48" s="434"/>
      <c r="AY48" s="434"/>
      <c r="AZ48" s="434"/>
      <c r="BA48" s="435"/>
      <c r="BB48" s="67"/>
      <c r="BC48" s="96"/>
      <c r="BD48" s="96"/>
    </row>
    <row r="49" spans="1:58" s="64" customFormat="1" ht="7.5" customHeight="1" x14ac:dyDescent="0.2">
      <c r="A49" s="416"/>
      <c r="B49" s="523"/>
      <c r="C49" s="519"/>
      <c r="D49" s="519"/>
      <c r="E49" s="519"/>
      <c r="F49" s="519"/>
      <c r="G49" s="566"/>
      <c r="H49" s="559"/>
      <c r="I49" s="568"/>
      <c r="J49" s="566"/>
      <c r="K49" s="566"/>
      <c r="L49" s="566"/>
      <c r="M49" s="566"/>
      <c r="N49" s="566"/>
      <c r="O49" s="559"/>
      <c r="P49" s="98"/>
      <c r="Q49" s="425"/>
      <c r="R49" s="425"/>
      <c r="S49" s="425"/>
      <c r="T49" s="425"/>
      <c r="U49" s="425"/>
      <c r="V49" s="425"/>
      <c r="W49" s="425"/>
      <c r="X49" s="454"/>
      <c r="Y49" s="99"/>
      <c r="Z49" s="424"/>
      <c r="AA49" s="425"/>
      <c r="AB49" s="484"/>
      <c r="AC49" s="453"/>
      <c r="AD49" s="425"/>
      <c r="AE49" s="425"/>
      <c r="AF49" s="454"/>
      <c r="AG49" s="65"/>
      <c r="AH49" s="444"/>
      <c r="AI49" s="445"/>
      <c r="AJ49" s="444"/>
      <c r="AK49" s="445"/>
      <c r="AL49" s="444"/>
      <c r="AM49" s="446"/>
      <c r="AN49" s="444"/>
      <c r="AO49" s="446"/>
      <c r="AP49" s="444"/>
      <c r="AQ49" s="446"/>
      <c r="AR49" s="444"/>
      <c r="AS49" s="445"/>
      <c r="AT49" s="66"/>
      <c r="AU49" s="65"/>
      <c r="AV49" s="66"/>
      <c r="AW49" s="434"/>
      <c r="AX49" s="434"/>
      <c r="AY49" s="434"/>
      <c r="AZ49" s="434"/>
      <c r="BA49" s="435"/>
      <c r="BB49" s="67"/>
      <c r="BC49" s="96"/>
      <c r="BD49" s="96"/>
    </row>
    <row r="50" spans="1:58" s="64" customFormat="1" ht="7.5" customHeight="1" x14ac:dyDescent="0.2">
      <c r="A50" s="416"/>
      <c r="B50" s="523"/>
      <c r="C50" s="519"/>
      <c r="D50" s="519"/>
      <c r="E50" s="519"/>
      <c r="F50" s="519"/>
      <c r="G50" s="566"/>
      <c r="H50" s="559"/>
      <c r="I50" s="568"/>
      <c r="J50" s="566"/>
      <c r="K50" s="566"/>
      <c r="L50" s="566"/>
      <c r="M50" s="566"/>
      <c r="N50" s="566"/>
      <c r="O50" s="559"/>
      <c r="P50" s="98"/>
      <c r="Q50" s="425"/>
      <c r="R50" s="425"/>
      <c r="S50" s="425"/>
      <c r="T50" s="425"/>
      <c r="U50" s="425"/>
      <c r="V50" s="425"/>
      <c r="W50" s="425"/>
      <c r="X50" s="454"/>
      <c r="Y50" s="99"/>
      <c r="Z50" s="424"/>
      <c r="AA50" s="425"/>
      <c r="AB50" s="484"/>
      <c r="AC50" s="453"/>
      <c r="AD50" s="425"/>
      <c r="AE50" s="425"/>
      <c r="AF50" s="454"/>
      <c r="AG50" s="65"/>
      <c r="AH50" s="444"/>
      <c r="AI50" s="445"/>
      <c r="AJ50" s="444"/>
      <c r="AK50" s="445"/>
      <c r="AL50" s="444"/>
      <c r="AM50" s="446"/>
      <c r="AN50" s="444"/>
      <c r="AO50" s="446"/>
      <c r="AP50" s="444"/>
      <c r="AQ50" s="446"/>
      <c r="AR50" s="444"/>
      <c r="AS50" s="445"/>
      <c r="AT50" s="66"/>
      <c r="AU50" s="65"/>
      <c r="AV50" s="66"/>
      <c r="AW50" s="434"/>
      <c r="AX50" s="434"/>
      <c r="AY50" s="434"/>
      <c r="AZ50" s="434"/>
      <c r="BA50" s="435"/>
      <c r="BB50" s="67"/>
      <c r="BC50" s="96"/>
      <c r="BD50" s="96"/>
      <c r="BF50" s="64" t="s">
        <v>91</v>
      </c>
    </row>
    <row r="51" spans="1:58" s="64" customFormat="1" ht="7.5" customHeight="1" x14ac:dyDescent="0.2">
      <c r="A51" s="416"/>
      <c r="B51" s="524"/>
      <c r="C51" s="520"/>
      <c r="D51" s="520"/>
      <c r="E51" s="520"/>
      <c r="F51" s="520"/>
      <c r="G51" s="566"/>
      <c r="H51" s="559"/>
      <c r="I51" s="569"/>
      <c r="J51" s="566"/>
      <c r="K51" s="566"/>
      <c r="L51" s="566"/>
      <c r="M51" s="566"/>
      <c r="N51" s="566"/>
      <c r="O51" s="559"/>
      <c r="P51" s="100"/>
      <c r="Q51" s="425"/>
      <c r="R51" s="425"/>
      <c r="S51" s="425"/>
      <c r="T51" s="425"/>
      <c r="U51" s="425"/>
      <c r="V51" s="425"/>
      <c r="W51" s="425"/>
      <c r="X51" s="454"/>
      <c r="Y51" s="99"/>
      <c r="Z51" s="424"/>
      <c r="AA51" s="425"/>
      <c r="AB51" s="484"/>
      <c r="AC51" s="453"/>
      <c r="AD51" s="425"/>
      <c r="AE51" s="425"/>
      <c r="AF51" s="454"/>
      <c r="AG51" s="65"/>
      <c r="AH51" s="444"/>
      <c r="AI51" s="445"/>
      <c r="AJ51" s="444"/>
      <c r="AK51" s="445"/>
      <c r="AL51" s="444"/>
      <c r="AM51" s="446"/>
      <c r="AN51" s="444"/>
      <c r="AO51" s="446"/>
      <c r="AP51" s="444"/>
      <c r="AQ51" s="446"/>
      <c r="AR51" s="444"/>
      <c r="AS51" s="445"/>
      <c r="AT51" s="66"/>
      <c r="AU51" s="65"/>
      <c r="AV51" s="66"/>
      <c r="AW51" s="434"/>
      <c r="AX51" s="434"/>
      <c r="AY51" s="434"/>
      <c r="AZ51" s="434"/>
      <c r="BA51" s="435"/>
      <c r="BB51" s="67"/>
      <c r="BC51" s="96"/>
      <c r="BD51" s="96"/>
    </row>
    <row r="52" spans="1:58" s="64" customFormat="1" ht="7.5" customHeight="1" x14ac:dyDescent="0.2">
      <c r="A52" s="416"/>
      <c r="B52" s="570" t="str">
        <f>IF('Header Info'!G42="","",'Header Info'!G42)</f>
        <v/>
      </c>
      <c r="C52" s="571" t="str">
        <f>IF('Header Info'!G41="","",'Header Info'!G41)</f>
        <v/>
      </c>
      <c r="D52" s="571" t="str">
        <f>IF('Header Info'!G40="","",'Header Info'!G40)</f>
        <v>2520.0 м</v>
      </c>
      <c r="E52" s="571" t="str">
        <f>IF('Header Info'!G39="","",'Header Info'!G39)</f>
        <v>1899.0 м</v>
      </c>
      <c r="F52" s="572" t="str">
        <f>IF('Header Info'!G38="","",'Header Info'!G38)</f>
        <v>452.7 м</v>
      </c>
      <c r="G52" s="566" t="s">
        <v>42</v>
      </c>
      <c r="H52" s="559"/>
      <c r="I52" s="567" t="str">
        <f>IF('Header Info'!G31="","",'Header Info'!G31)</f>
        <v/>
      </c>
      <c r="J52" s="566" t="str">
        <f>IF('Header Info'!G30="","",'Header Info'!G30)</f>
        <v/>
      </c>
      <c r="K52" s="566" t="str">
        <f>IF('Header Info'!G29="","",'Header Info'!G29)</f>
        <v/>
      </c>
      <c r="L52" s="566" t="str">
        <f>IF('Header Info'!G28="","",'Header Info'!G28)</f>
        <v>1140.3 м</v>
      </c>
      <c r="M52" s="566" t="str">
        <f>IF('Header Info'!G27="","",'Header Info'!G27)</f>
        <v>447.4 м</v>
      </c>
      <c r="N52" s="566" t="s">
        <v>42</v>
      </c>
      <c r="O52" s="559"/>
      <c r="P52" s="100"/>
      <c r="Q52" s="457" t="str">
        <f>'Header Info'!E19</f>
        <v>On Shore</v>
      </c>
      <c r="R52" s="457"/>
      <c r="S52" s="425" t="str">
        <f>'Header Info'!E18</f>
        <v>-</v>
      </c>
      <c r="T52" s="425"/>
      <c r="U52" s="425" t="str">
        <f>'Header Info'!E17</f>
        <v>44.21 м</v>
      </c>
      <c r="V52" s="425"/>
      <c r="W52" s="425" t="str">
        <f>'Header Info'!E16</f>
        <v>44.21 м</v>
      </c>
      <c r="X52" s="454"/>
      <c r="Y52" s="99"/>
      <c r="Z52" s="424"/>
      <c r="AA52" s="425"/>
      <c r="AB52" s="484"/>
      <c r="AC52" s="468" t="str">
        <f>'Header Info'!E7</f>
        <v>82.69°</v>
      </c>
      <c r="AD52" s="469"/>
      <c r="AE52" s="474" t="str">
        <f>'Header Info'!E6</f>
        <v>22.2°</v>
      </c>
      <c r="AF52" s="475"/>
      <c r="AG52" s="65"/>
      <c r="AH52" s="444"/>
      <c r="AI52" s="445"/>
      <c r="AJ52" s="444"/>
      <c r="AK52" s="445"/>
      <c r="AL52" s="444"/>
      <c r="AM52" s="446"/>
      <c r="AN52" s="444"/>
      <c r="AO52" s="446"/>
      <c r="AP52" s="444"/>
      <c r="AQ52" s="446"/>
      <c r="AR52" s="444"/>
      <c r="AS52" s="445"/>
      <c r="AT52" s="66"/>
      <c r="AU52" s="65"/>
      <c r="AV52" s="66"/>
      <c r="AW52" s="434"/>
      <c r="AX52" s="434"/>
      <c r="AY52" s="434"/>
      <c r="AZ52" s="434"/>
      <c r="BA52" s="435"/>
      <c r="BB52" s="67"/>
      <c r="BC52" s="96"/>
      <c r="BD52" s="96"/>
    </row>
    <row r="53" spans="1:58" s="64" customFormat="1" ht="7.5" customHeight="1" x14ac:dyDescent="0.2">
      <c r="A53" s="416"/>
      <c r="B53" s="523"/>
      <c r="C53" s="519"/>
      <c r="D53" s="519"/>
      <c r="E53" s="519"/>
      <c r="F53" s="519"/>
      <c r="G53" s="559"/>
      <c r="H53" s="559"/>
      <c r="I53" s="568"/>
      <c r="J53" s="559"/>
      <c r="K53" s="559"/>
      <c r="L53" s="559"/>
      <c r="M53" s="559"/>
      <c r="N53" s="559"/>
      <c r="O53" s="559"/>
      <c r="P53" s="100"/>
      <c r="Q53" s="457"/>
      <c r="R53" s="457"/>
      <c r="S53" s="425"/>
      <c r="T53" s="425"/>
      <c r="U53" s="425"/>
      <c r="V53" s="425"/>
      <c r="W53" s="425"/>
      <c r="X53" s="454"/>
      <c r="Y53" s="99"/>
      <c r="Z53" s="424"/>
      <c r="AA53" s="425"/>
      <c r="AB53" s="484"/>
      <c r="AC53" s="470"/>
      <c r="AD53" s="471"/>
      <c r="AE53" s="476"/>
      <c r="AF53" s="475"/>
      <c r="AG53" s="65"/>
      <c r="AH53" s="444"/>
      <c r="AI53" s="445"/>
      <c r="AJ53" s="444"/>
      <c r="AK53" s="445"/>
      <c r="AL53" s="444"/>
      <c r="AM53" s="446"/>
      <c r="AN53" s="444"/>
      <c r="AO53" s="446"/>
      <c r="AP53" s="444"/>
      <c r="AQ53" s="446"/>
      <c r="AR53" s="444"/>
      <c r="AS53" s="445"/>
      <c r="AT53" s="66"/>
      <c r="AU53" s="65"/>
      <c r="AV53" s="66"/>
      <c r="AW53" s="434"/>
      <c r="AX53" s="434"/>
      <c r="AY53" s="434"/>
      <c r="AZ53" s="434"/>
      <c r="BA53" s="435"/>
      <c r="BB53" s="67"/>
      <c r="BC53" s="96"/>
      <c r="BD53" s="96"/>
    </row>
    <row r="54" spans="1:58" s="64" customFormat="1" ht="7.5" customHeight="1" x14ac:dyDescent="0.2">
      <c r="A54" s="416"/>
      <c r="B54" s="523"/>
      <c r="C54" s="519"/>
      <c r="D54" s="519"/>
      <c r="E54" s="519"/>
      <c r="F54" s="519"/>
      <c r="G54" s="559"/>
      <c r="H54" s="559"/>
      <c r="I54" s="568"/>
      <c r="J54" s="559"/>
      <c r="K54" s="559"/>
      <c r="L54" s="559"/>
      <c r="M54" s="559"/>
      <c r="N54" s="559"/>
      <c r="O54" s="559"/>
      <c r="P54" s="100"/>
      <c r="Q54" s="457"/>
      <c r="R54" s="457"/>
      <c r="S54" s="425"/>
      <c r="T54" s="425"/>
      <c r="U54" s="425"/>
      <c r="V54" s="425"/>
      <c r="W54" s="425"/>
      <c r="X54" s="454"/>
      <c r="Y54" s="99"/>
      <c r="Z54" s="424"/>
      <c r="AA54" s="425"/>
      <c r="AB54" s="484"/>
      <c r="AC54" s="470"/>
      <c r="AD54" s="471"/>
      <c r="AE54" s="476"/>
      <c r="AF54" s="475"/>
      <c r="AG54" s="65"/>
      <c r="AH54" s="444"/>
      <c r="AI54" s="445"/>
      <c r="AJ54" s="444"/>
      <c r="AK54" s="445"/>
      <c r="AL54" s="444"/>
      <c r="AM54" s="446"/>
      <c r="AN54" s="444"/>
      <c r="AO54" s="446"/>
      <c r="AP54" s="444"/>
      <c r="AQ54" s="446"/>
      <c r="AR54" s="444"/>
      <c r="AS54" s="445"/>
      <c r="AT54" s="66"/>
      <c r="AU54" s="65"/>
      <c r="AV54" s="66"/>
      <c r="AW54" s="434"/>
      <c r="AX54" s="434"/>
      <c r="AY54" s="434"/>
      <c r="AZ54" s="434"/>
      <c r="BA54" s="435"/>
      <c r="BB54" s="67"/>
      <c r="BC54" s="96"/>
      <c r="BD54" s="96"/>
    </row>
    <row r="55" spans="1:58" s="64" customFormat="1" ht="7.5" customHeight="1" x14ac:dyDescent="0.2">
      <c r="A55" s="416"/>
      <c r="B55" s="523"/>
      <c r="C55" s="519"/>
      <c r="D55" s="519"/>
      <c r="E55" s="519"/>
      <c r="F55" s="519"/>
      <c r="G55" s="559"/>
      <c r="H55" s="559"/>
      <c r="I55" s="568"/>
      <c r="J55" s="559"/>
      <c r="K55" s="559"/>
      <c r="L55" s="559"/>
      <c r="M55" s="559"/>
      <c r="N55" s="559"/>
      <c r="O55" s="559"/>
      <c r="P55" s="100"/>
      <c r="Q55" s="457"/>
      <c r="R55" s="457"/>
      <c r="S55" s="425"/>
      <c r="T55" s="425"/>
      <c r="U55" s="425"/>
      <c r="V55" s="425"/>
      <c r="W55" s="425"/>
      <c r="X55" s="454"/>
      <c r="Y55" s="99"/>
      <c r="Z55" s="424"/>
      <c r="AA55" s="425"/>
      <c r="AB55" s="484"/>
      <c r="AC55" s="470"/>
      <c r="AD55" s="471"/>
      <c r="AE55" s="476"/>
      <c r="AF55" s="475"/>
      <c r="AG55" s="65"/>
      <c r="AH55" s="444"/>
      <c r="AI55" s="445"/>
      <c r="AJ55" s="444"/>
      <c r="AK55" s="445"/>
      <c r="AL55" s="444"/>
      <c r="AM55" s="446"/>
      <c r="AN55" s="444"/>
      <c r="AO55" s="446"/>
      <c r="AP55" s="444"/>
      <c r="AQ55" s="446"/>
      <c r="AR55" s="444"/>
      <c r="AS55" s="445"/>
      <c r="AT55" s="66"/>
      <c r="AU55" s="65"/>
      <c r="AV55" s="66"/>
      <c r="AW55" s="434"/>
      <c r="AX55" s="434"/>
      <c r="AY55" s="434"/>
      <c r="AZ55" s="434"/>
      <c r="BA55" s="435"/>
      <c r="BB55" s="67"/>
      <c r="BC55" s="96"/>
      <c r="BD55" s="96"/>
    </row>
    <row r="56" spans="1:58" s="64" customFormat="1" ht="7.5" customHeight="1" x14ac:dyDescent="0.2">
      <c r="A56" s="416"/>
      <c r="B56" s="523"/>
      <c r="C56" s="519"/>
      <c r="D56" s="519"/>
      <c r="E56" s="519"/>
      <c r="F56" s="519"/>
      <c r="G56" s="559"/>
      <c r="H56" s="559"/>
      <c r="I56" s="568"/>
      <c r="J56" s="559"/>
      <c r="K56" s="559"/>
      <c r="L56" s="559"/>
      <c r="M56" s="559"/>
      <c r="N56" s="559"/>
      <c r="O56" s="559"/>
      <c r="P56" s="100"/>
      <c r="Q56" s="457"/>
      <c r="R56" s="457"/>
      <c r="S56" s="425"/>
      <c r="T56" s="425"/>
      <c r="U56" s="425"/>
      <c r="V56" s="425"/>
      <c r="W56" s="425"/>
      <c r="X56" s="454"/>
      <c r="Y56" s="99"/>
      <c r="Z56" s="424"/>
      <c r="AA56" s="425"/>
      <c r="AB56" s="484"/>
      <c r="AC56" s="470"/>
      <c r="AD56" s="471"/>
      <c r="AE56" s="476"/>
      <c r="AF56" s="475"/>
      <c r="AG56" s="65"/>
      <c r="AH56" s="444"/>
      <c r="AI56" s="445"/>
      <c r="AJ56" s="444"/>
      <c r="AK56" s="445"/>
      <c r="AL56" s="444"/>
      <c r="AM56" s="446"/>
      <c r="AN56" s="444"/>
      <c r="AO56" s="446"/>
      <c r="AP56" s="444"/>
      <c r="AQ56" s="446"/>
      <c r="AR56" s="444"/>
      <c r="AS56" s="445"/>
      <c r="AT56" s="66"/>
      <c r="AU56" s="65"/>
      <c r="AV56" s="66"/>
      <c r="AW56" s="434"/>
      <c r="AX56" s="434"/>
      <c r="AY56" s="434"/>
      <c r="AZ56" s="434"/>
      <c r="BA56" s="435"/>
      <c r="BB56" s="67"/>
      <c r="BC56" s="96"/>
      <c r="BD56" s="96"/>
    </row>
    <row r="57" spans="1:58" s="64" customFormat="1" ht="7.5" customHeight="1" x14ac:dyDescent="0.2">
      <c r="A57" s="416"/>
      <c r="B57" s="523"/>
      <c r="C57" s="519"/>
      <c r="D57" s="519"/>
      <c r="E57" s="519"/>
      <c r="F57" s="519"/>
      <c r="G57" s="559"/>
      <c r="H57" s="559"/>
      <c r="I57" s="568"/>
      <c r="J57" s="559"/>
      <c r="K57" s="559"/>
      <c r="L57" s="559"/>
      <c r="M57" s="559"/>
      <c r="N57" s="559"/>
      <c r="O57" s="559"/>
      <c r="P57" s="100"/>
      <c r="Q57" s="457"/>
      <c r="R57" s="457"/>
      <c r="S57" s="425"/>
      <c r="T57" s="425"/>
      <c r="U57" s="425"/>
      <c r="V57" s="425"/>
      <c r="W57" s="425"/>
      <c r="X57" s="454"/>
      <c r="Y57" s="99"/>
      <c r="Z57" s="424"/>
      <c r="AA57" s="425"/>
      <c r="AB57" s="484"/>
      <c r="AC57" s="470"/>
      <c r="AD57" s="471"/>
      <c r="AE57" s="476"/>
      <c r="AF57" s="475"/>
      <c r="AG57" s="101"/>
      <c r="AH57" s="444"/>
      <c r="AI57" s="445"/>
      <c r="AJ57" s="444"/>
      <c r="AK57" s="445"/>
      <c r="AL57" s="444"/>
      <c r="AM57" s="446"/>
      <c r="AN57" s="444"/>
      <c r="AO57" s="446"/>
      <c r="AP57" s="444"/>
      <c r="AQ57" s="446"/>
      <c r="AR57" s="444"/>
      <c r="AS57" s="445"/>
      <c r="AT57" s="66"/>
      <c r="AU57" s="65"/>
      <c r="AV57" s="66"/>
      <c r="AW57" s="434"/>
      <c r="AX57" s="434"/>
      <c r="AY57" s="434"/>
      <c r="AZ57" s="434"/>
      <c r="BA57" s="435"/>
      <c r="BB57" s="67"/>
      <c r="BC57" s="96"/>
      <c r="BD57" s="96"/>
    </row>
    <row r="58" spans="1:58" s="64" customFormat="1" ht="7.5" customHeight="1" thickBot="1" x14ac:dyDescent="0.35">
      <c r="A58" s="417"/>
      <c r="B58" s="573"/>
      <c r="C58" s="574"/>
      <c r="D58" s="574"/>
      <c r="E58" s="574"/>
      <c r="F58" s="574"/>
      <c r="G58" s="562"/>
      <c r="H58" s="562"/>
      <c r="I58" s="575"/>
      <c r="J58" s="562"/>
      <c r="K58" s="562"/>
      <c r="L58" s="562"/>
      <c r="M58" s="562"/>
      <c r="N58" s="562"/>
      <c r="O58" s="562"/>
      <c r="P58" s="73"/>
      <c r="Q58" s="458"/>
      <c r="R58" s="458"/>
      <c r="S58" s="459"/>
      <c r="T58" s="459"/>
      <c r="U58" s="459"/>
      <c r="V58" s="459"/>
      <c r="W58" s="459"/>
      <c r="X58" s="460"/>
      <c r="Y58" s="102"/>
      <c r="Z58" s="546"/>
      <c r="AA58" s="459"/>
      <c r="AB58" s="547"/>
      <c r="AC58" s="472"/>
      <c r="AD58" s="473"/>
      <c r="AE58" s="477"/>
      <c r="AF58" s="478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88" t="s">
        <v>51</v>
      </c>
      <c r="B1" s="545" t="str">
        <f>IF('Header Info'!A42="","",'Header Info'!A42)</f>
        <v/>
      </c>
      <c r="C1" s="518" t="str">
        <f>IF('Header Info'!A41="","",'Header Info'!A41)</f>
        <v/>
      </c>
      <c r="D1" s="518" t="str">
        <f>IF('Header Info'!A40="","",'Header Info'!A40)</f>
        <v>155.6 мм</v>
      </c>
      <c r="E1" s="521" t="str">
        <f>IF('Header Info'!A39="","",'Header Info'!A39)</f>
        <v>220.7 мм</v>
      </c>
      <c r="F1" s="521" t="str">
        <f>IF('Header Info'!A38="","",'Header Info'!A38)</f>
        <v>295.3 мм</v>
      </c>
      <c r="G1" s="526" t="s">
        <v>52</v>
      </c>
      <c r="H1" s="529" t="s">
        <v>45</v>
      </c>
      <c r="I1" s="532" t="str">
        <f>IF('Header Info'!A31="","",'Header Info'!A31)</f>
        <v/>
      </c>
      <c r="J1" s="532" t="str">
        <f>IF('Header Info'!A30="","",'Header Info'!A30)</f>
        <v/>
      </c>
      <c r="K1" s="526" t="str">
        <f>IF('Header Info'!A29="","",'Header Info'!A29)</f>
        <v>155.6 мм</v>
      </c>
      <c r="L1" s="534" t="str">
        <f>IF('Header Info'!A28="","",'Header Info'!A28)</f>
        <v>220.7 мм</v>
      </c>
      <c r="M1" s="534" t="str">
        <f>IF('Header Info'!A27="","",'Header Info'!A27)</f>
        <v>295.3 мм</v>
      </c>
      <c r="N1" s="526" t="s">
        <v>52</v>
      </c>
      <c r="O1" s="529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16"/>
      <c r="B2" s="523"/>
      <c r="C2" s="519"/>
      <c r="D2" s="519"/>
      <c r="E2" s="519"/>
      <c r="F2" s="519"/>
      <c r="G2" s="527"/>
      <c r="H2" s="530"/>
      <c r="I2" s="533"/>
      <c r="J2" s="533"/>
      <c r="K2" s="527"/>
      <c r="L2" s="535"/>
      <c r="M2" s="535"/>
      <c r="N2" s="527"/>
      <c r="O2" s="530"/>
      <c r="P2" s="424" t="s">
        <v>53</v>
      </c>
      <c r="Q2" s="425"/>
      <c r="R2" s="495" t="s">
        <v>54</v>
      </c>
      <c r="S2" s="495"/>
      <c r="T2" s="517" t="s">
        <v>25</v>
      </c>
      <c r="U2" s="495"/>
      <c r="V2" s="495" t="s">
        <v>23</v>
      </c>
      <c r="W2" s="495"/>
      <c r="X2" s="495" t="s">
        <v>55</v>
      </c>
      <c r="Y2" s="496"/>
      <c r="Z2" s="489" t="s">
        <v>56</v>
      </c>
      <c r="AA2" s="489"/>
      <c r="AB2" s="489"/>
      <c r="AC2" s="489"/>
      <c r="AD2" s="489"/>
      <c r="AE2" s="489"/>
      <c r="AF2" s="497" t="str">
        <f>'Header Info'!B2</f>
        <v>АО "Мессояханефтегаз"</v>
      </c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8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16"/>
      <c r="B3" s="523"/>
      <c r="C3" s="519"/>
      <c r="D3" s="519"/>
      <c r="E3" s="519"/>
      <c r="F3" s="519"/>
      <c r="G3" s="527"/>
      <c r="H3" s="530"/>
      <c r="I3" s="533"/>
      <c r="J3" s="533"/>
      <c r="K3" s="527"/>
      <c r="L3" s="535"/>
      <c r="M3" s="535"/>
      <c r="N3" s="527"/>
      <c r="O3" s="530"/>
      <c r="P3" s="424"/>
      <c r="Q3" s="425"/>
      <c r="R3" s="495"/>
      <c r="S3" s="495"/>
      <c r="T3" s="517"/>
      <c r="U3" s="495"/>
      <c r="V3" s="495"/>
      <c r="W3" s="495"/>
      <c r="X3" s="495"/>
      <c r="Y3" s="496"/>
      <c r="Z3" s="489"/>
      <c r="AA3" s="489"/>
      <c r="AB3" s="489"/>
      <c r="AC3" s="489"/>
      <c r="AD3" s="489"/>
      <c r="AE3" s="48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500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16"/>
      <c r="B4" s="523"/>
      <c r="C4" s="519"/>
      <c r="D4" s="519"/>
      <c r="E4" s="519"/>
      <c r="F4" s="519"/>
      <c r="G4" s="527"/>
      <c r="H4" s="530"/>
      <c r="I4" s="533"/>
      <c r="J4" s="533"/>
      <c r="K4" s="527"/>
      <c r="L4" s="535"/>
      <c r="M4" s="535"/>
      <c r="N4" s="527"/>
      <c r="O4" s="530"/>
      <c r="P4" s="424"/>
      <c r="Q4" s="425"/>
      <c r="R4" s="495"/>
      <c r="S4" s="495"/>
      <c r="T4" s="517"/>
      <c r="U4" s="495"/>
      <c r="V4" s="495"/>
      <c r="W4" s="495"/>
      <c r="X4" s="495"/>
      <c r="Y4" s="496"/>
      <c r="Z4" s="489" t="s">
        <v>57</v>
      </c>
      <c r="AA4" s="501"/>
      <c r="AB4" s="501"/>
      <c r="AC4" s="501"/>
      <c r="AD4" s="501"/>
      <c r="AE4" s="501"/>
      <c r="AF4" s="497" t="str">
        <f>'Header Info'!B3</f>
        <v>4828st03#74 Горизонтальный ствол3</v>
      </c>
      <c r="AG4" s="497"/>
      <c r="AH4" s="497"/>
      <c r="AI4" s="497"/>
      <c r="AJ4" s="497"/>
      <c r="AK4" s="497"/>
      <c r="AL4" s="497"/>
      <c r="AM4" s="497"/>
      <c r="AN4" s="497"/>
      <c r="AO4" s="497"/>
      <c r="AP4" s="497"/>
      <c r="AQ4" s="497"/>
      <c r="AR4" s="497"/>
      <c r="AS4" s="497"/>
      <c r="AT4" s="49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16"/>
      <c r="B5" s="523"/>
      <c r="C5" s="519"/>
      <c r="D5" s="519"/>
      <c r="E5" s="519"/>
      <c r="F5" s="519"/>
      <c r="G5" s="527"/>
      <c r="H5" s="530"/>
      <c r="I5" s="533"/>
      <c r="J5" s="533"/>
      <c r="K5" s="527"/>
      <c r="L5" s="535"/>
      <c r="M5" s="535"/>
      <c r="N5" s="527"/>
      <c r="O5" s="530"/>
      <c r="P5" s="424"/>
      <c r="Q5" s="425"/>
      <c r="R5" s="495"/>
      <c r="S5" s="495"/>
      <c r="T5" s="517"/>
      <c r="U5" s="495"/>
      <c r="V5" s="495"/>
      <c r="W5" s="495"/>
      <c r="X5" s="495"/>
      <c r="Y5" s="496"/>
      <c r="Z5" s="501"/>
      <c r="AA5" s="501"/>
      <c r="AB5" s="501"/>
      <c r="AC5" s="501"/>
      <c r="AD5" s="501"/>
      <c r="AE5" s="501"/>
      <c r="AF5" s="499"/>
      <c r="AG5" s="499"/>
      <c r="AH5" s="499"/>
      <c r="AI5" s="499"/>
      <c r="AJ5" s="499"/>
      <c r="AK5" s="499"/>
      <c r="AL5" s="499"/>
      <c r="AM5" s="499"/>
      <c r="AN5" s="499"/>
      <c r="AO5" s="499"/>
      <c r="AP5" s="499"/>
      <c r="AQ5" s="499"/>
      <c r="AR5" s="499"/>
      <c r="AS5" s="499"/>
      <c r="AT5" s="50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16"/>
      <c r="B6" s="523"/>
      <c r="C6" s="519"/>
      <c r="D6" s="519"/>
      <c r="E6" s="519"/>
      <c r="F6" s="519"/>
      <c r="G6" s="527"/>
      <c r="H6" s="530"/>
      <c r="I6" s="533"/>
      <c r="J6" s="533"/>
      <c r="K6" s="527"/>
      <c r="L6" s="535"/>
      <c r="M6" s="535"/>
      <c r="N6" s="527"/>
      <c r="O6" s="530"/>
      <c r="P6" s="424"/>
      <c r="Q6" s="425"/>
      <c r="R6" s="495"/>
      <c r="S6" s="495"/>
      <c r="T6" s="517"/>
      <c r="U6" s="495"/>
      <c r="V6" s="495"/>
      <c r="W6" s="495"/>
      <c r="X6" s="495"/>
      <c r="Y6" s="496"/>
      <c r="Z6" s="489" t="s">
        <v>58</v>
      </c>
      <c r="AA6" s="489"/>
      <c r="AB6" s="489"/>
      <c r="AC6" s="489"/>
      <c r="AD6" s="489"/>
      <c r="AE6" s="489"/>
      <c r="AF6" s="497" t="str">
        <f>'Header Info'!B5</f>
        <v>Восточно-Мессояхское</v>
      </c>
      <c r="AG6" s="497"/>
      <c r="AH6" s="497"/>
      <c r="AI6" s="497"/>
      <c r="AJ6" s="497"/>
      <c r="AK6" s="497"/>
      <c r="AL6" s="497"/>
      <c r="AM6" s="497"/>
      <c r="AN6" s="497"/>
      <c r="AO6" s="497"/>
      <c r="AP6" s="497"/>
      <c r="AQ6" s="497"/>
      <c r="AR6" s="497"/>
      <c r="AS6" s="497"/>
      <c r="AT6" s="498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16"/>
      <c r="B7" s="523"/>
      <c r="C7" s="519"/>
      <c r="D7" s="519"/>
      <c r="E7" s="519"/>
      <c r="F7" s="519"/>
      <c r="G7" s="527"/>
      <c r="H7" s="530"/>
      <c r="I7" s="533"/>
      <c r="J7" s="533"/>
      <c r="K7" s="527"/>
      <c r="L7" s="535"/>
      <c r="M7" s="535"/>
      <c r="N7" s="527"/>
      <c r="O7" s="530"/>
      <c r="P7" s="424"/>
      <c r="Q7" s="425"/>
      <c r="R7" s="495"/>
      <c r="S7" s="495"/>
      <c r="T7" s="517"/>
      <c r="U7" s="495"/>
      <c r="V7" s="495"/>
      <c r="W7" s="495"/>
      <c r="X7" s="495"/>
      <c r="Y7" s="496"/>
      <c r="Z7" s="489"/>
      <c r="AA7" s="489"/>
      <c r="AB7" s="489"/>
      <c r="AC7" s="489"/>
      <c r="AD7" s="489"/>
      <c r="AE7" s="489"/>
      <c r="AF7" s="499"/>
      <c r="AG7" s="499"/>
      <c r="AH7" s="499"/>
      <c r="AI7" s="499"/>
      <c r="AJ7" s="499"/>
      <c r="AK7" s="499"/>
      <c r="AL7" s="499"/>
      <c r="AM7" s="499"/>
      <c r="AN7" s="499"/>
      <c r="AO7" s="499"/>
      <c r="AP7" s="499"/>
      <c r="AQ7" s="499"/>
      <c r="AR7" s="499"/>
      <c r="AS7" s="499"/>
      <c r="AT7" s="500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16"/>
      <c r="B8" s="523"/>
      <c r="C8" s="519"/>
      <c r="D8" s="519"/>
      <c r="E8" s="519"/>
      <c r="F8" s="519"/>
      <c r="G8" s="527"/>
      <c r="H8" s="530"/>
      <c r="I8" s="533"/>
      <c r="J8" s="533"/>
      <c r="K8" s="527"/>
      <c r="L8" s="535"/>
      <c r="M8" s="535"/>
      <c r="N8" s="527"/>
      <c r="O8" s="530"/>
      <c r="P8" s="424"/>
      <c r="Q8" s="425"/>
      <c r="R8" s="495"/>
      <c r="S8" s="495"/>
      <c r="T8" s="517"/>
      <c r="U8" s="495"/>
      <c r="V8" s="495"/>
      <c r="W8" s="495"/>
      <c r="X8" s="495"/>
      <c r="Y8" s="496"/>
      <c r="Z8" s="489" t="s">
        <v>59</v>
      </c>
      <c r="AA8" s="489"/>
      <c r="AB8" s="489"/>
      <c r="AC8" s="489"/>
      <c r="AD8" s="489"/>
      <c r="AE8" s="489"/>
      <c r="AF8" s="497" t="str">
        <f>'Header Info'!B6</f>
        <v>БУ-3200</v>
      </c>
      <c r="AG8" s="497"/>
      <c r="AH8" s="497"/>
      <c r="AI8" s="497"/>
      <c r="AJ8" s="497"/>
      <c r="AK8" s="497"/>
      <c r="AL8" s="497"/>
      <c r="AM8" s="497"/>
      <c r="AN8" s="497"/>
      <c r="AO8" s="497"/>
      <c r="AP8" s="497"/>
      <c r="AQ8" s="497"/>
      <c r="AR8" s="497"/>
      <c r="AS8" s="497"/>
      <c r="AT8" s="498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16"/>
      <c r="B9" s="524"/>
      <c r="C9" s="520"/>
      <c r="D9" s="520"/>
      <c r="E9" s="520"/>
      <c r="F9" s="520"/>
      <c r="G9" s="528"/>
      <c r="H9" s="530"/>
      <c r="I9" s="533"/>
      <c r="J9" s="533"/>
      <c r="K9" s="527"/>
      <c r="L9" s="535"/>
      <c r="M9" s="535"/>
      <c r="N9" s="528"/>
      <c r="O9" s="530"/>
      <c r="P9" s="424"/>
      <c r="Q9" s="425"/>
      <c r="R9" s="495"/>
      <c r="S9" s="495"/>
      <c r="T9" s="517"/>
      <c r="U9" s="495"/>
      <c r="V9" s="495"/>
      <c r="W9" s="495"/>
      <c r="X9" s="495"/>
      <c r="Y9" s="496"/>
      <c r="Z9" s="489"/>
      <c r="AA9" s="489"/>
      <c r="AB9" s="489"/>
      <c r="AC9" s="489"/>
      <c r="AD9" s="489"/>
      <c r="AE9" s="489"/>
      <c r="AF9" s="499"/>
      <c r="AG9" s="499"/>
      <c r="AH9" s="499"/>
      <c r="AI9" s="499"/>
      <c r="AJ9" s="499"/>
      <c r="AK9" s="499"/>
      <c r="AL9" s="499"/>
      <c r="AM9" s="499"/>
      <c r="AN9" s="499"/>
      <c r="AO9" s="499"/>
      <c r="AP9" s="499"/>
      <c r="AQ9" s="499"/>
      <c r="AR9" s="499"/>
      <c r="AS9" s="499"/>
      <c r="AT9" s="500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16"/>
      <c r="B10" s="522" t="str">
        <f>IF('Header Info'!B42="","",'Header Info'!B42)</f>
        <v/>
      </c>
      <c r="C10" s="525" t="str">
        <f>IF('Header Info'!B41="","",'Header Info'!B41)</f>
        <v/>
      </c>
      <c r="D10" s="525" t="str">
        <f>IF('Header Info'!B40="","",'Header Info'!B40)</f>
        <v>84.7°</v>
      </c>
      <c r="E10" s="525" t="str">
        <f>IF('Header Info'!B39="","",'Header Info'!B39)</f>
        <v>10.7°</v>
      </c>
      <c r="F10" s="525" t="str">
        <f>IF('Header Info'!B38="","",'Header Info'!B38)</f>
        <v>0.5°</v>
      </c>
      <c r="G10" s="539" t="s">
        <v>60</v>
      </c>
      <c r="H10" s="530"/>
      <c r="I10" s="533" t="str">
        <f>IF('Header Info'!B31="","",'Header Info'!B31)</f>
        <v/>
      </c>
      <c r="J10" s="533" t="str">
        <f>IF('Header Info'!B30="","",'Header Info'!B30)</f>
        <v/>
      </c>
      <c r="K10" s="538" t="str">
        <f>IF('Header Info'!B29="","",'Header Info'!B29)</f>
        <v>1144.0 м</v>
      </c>
      <c r="L10" s="538" t="str">
        <f>IF('Header Info'!B28="","",'Header Info'!B28)</f>
        <v>452.7 м</v>
      </c>
      <c r="M10" s="538" t="str">
        <f>IF('Header Info'!B27="","",'Header Info'!B27)</f>
        <v>0.0 м</v>
      </c>
      <c r="N10" s="539" t="s">
        <v>41</v>
      </c>
      <c r="O10" s="530"/>
      <c r="P10" s="424"/>
      <c r="Q10" s="425"/>
      <c r="R10" s="495"/>
      <c r="S10" s="495"/>
      <c r="T10" s="517"/>
      <c r="U10" s="495"/>
      <c r="V10" s="495"/>
      <c r="W10" s="495"/>
      <c r="X10" s="495"/>
      <c r="Y10" s="496"/>
      <c r="Z10" s="489" t="s">
        <v>61</v>
      </c>
      <c r="AA10" s="489"/>
      <c r="AB10" s="489"/>
      <c r="AC10" s="489"/>
      <c r="AD10" s="489"/>
      <c r="AE10" s="489"/>
      <c r="AF10" s="490" t="str">
        <f>'Header Info'!B7</f>
        <v>Россия</v>
      </c>
      <c r="AG10" s="490"/>
      <c r="AH10" s="490"/>
      <c r="AI10" s="490"/>
      <c r="AJ10" s="490"/>
      <c r="AK10" s="490"/>
      <c r="AL10" s="490"/>
      <c r="AM10" s="490"/>
      <c r="AN10" s="490"/>
      <c r="AO10" s="490"/>
      <c r="AP10" s="490"/>
      <c r="AQ10" s="490"/>
      <c r="AR10" s="490"/>
      <c r="AS10" s="490"/>
      <c r="AT10" s="491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16"/>
      <c r="B11" s="523"/>
      <c r="C11" s="519"/>
      <c r="D11" s="519"/>
      <c r="E11" s="519"/>
      <c r="F11" s="519"/>
      <c r="G11" s="540"/>
      <c r="H11" s="530"/>
      <c r="I11" s="533"/>
      <c r="J11" s="533"/>
      <c r="K11" s="527"/>
      <c r="L11" s="527"/>
      <c r="M11" s="527"/>
      <c r="N11" s="540"/>
      <c r="O11" s="530"/>
      <c r="P11" s="577">
        <f>'Header Info'!B20</f>
        <v>44669</v>
      </c>
      <c r="Q11" s="578"/>
      <c r="R11" s="494" t="str">
        <f>'Header Info'!B18</f>
        <v>1460.00 м</v>
      </c>
      <c r="S11" s="494"/>
      <c r="T11" s="517"/>
      <c r="U11" s="495"/>
      <c r="V11" s="495"/>
      <c r="W11" s="495"/>
      <c r="X11" s="495"/>
      <c r="Y11" s="496"/>
      <c r="Z11" s="489"/>
      <c r="AA11" s="489"/>
      <c r="AB11" s="489"/>
      <c r="AC11" s="489"/>
      <c r="AD11" s="489"/>
      <c r="AE11" s="489"/>
      <c r="AF11" s="492"/>
      <c r="AG11" s="492"/>
      <c r="AH11" s="492"/>
      <c r="AI11" s="492"/>
      <c r="AJ11" s="492"/>
      <c r="AK11" s="492"/>
      <c r="AL11" s="492"/>
      <c r="AM11" s="492"/>
      <c r="AN11" s="492"/>
      <c r="AO11" s="492"/>
      <c r="AP11" s="492"/>
      <c r="AQ11" s="492"/>
      <c r="AR11" s="492"/>
      <c r="AS11" s="492"/>
      <c r="AT11" s="493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16"/>
      <c r="B12" s="523"/>
      <c r="C12" s="519"/>
      <c r="D12" s="519"/>
      <c r="E12" s="519"/>
      <c r="F12" s="519"/>
      <c r="G12" s="540"/>
      <c r="H12" s="530"/>
      <c r="I12" s="533"/>
      <c r="J12" s="533"/>
      <c r="K12" s="527"/>
      <c r="L12" s="527"/>
      <c r="M12" s="527"/>
      <c r="N12" s="540"/>
      <c r="O12" s="530"/>
      <c r="P12" s="577"/>
      <c r="Q12" s="578"/>
      <c r="R12" s="494"/>
      <c r="S12" s="494"/>
      <c r="T12" s="517"/>
      <c r="U12" s="495"/>
      <c r="V12" s="495"/>
      <c r="W12" s="495"/>
      <c r="X12" s="495"/>
      <c r="Y12" s="496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16"/>
      <c r="B13" s="523"/>
      <c r="C13" s="519"/>
      <c r="D13" s="519"/>
      <c r="E13" s="519"/>
      <c r="F13" s="519"/>
      <c r="G13" s="540"/>
      <c r="H13" s="530"/>
      <c r="I13" s="533"/>
      <c r="J13" s="533"/>
      <c r="K13" s="527"/>
      <c r="L13" s="527"/>
      <c r="M13" s="527"/>
      <c r="N13" s="540"/>
      <c r="O13" s="530"/>
      <c r="P13" s="577"/>
      <c r="Q13" s="578"/>
      <c r="R13" s="494"/>
      <c r="S13" s="494"/>
      <c r="T13" s="517"/>
      <c r="U13" s="495"/>
      <c r="V13" s="495"/>
      <c r="W13" s="495"/>
      <c r="X13" s="495"/>
      <c r="Y13" s="496"/>
      <c r="Z13" s="447" t="s">
        <v>62</v>
      </c>
      <c r="AA13" s="448"/>
      <c r="AB13" s="448"/>
      <c r="AC13" s="448"/>
      <c r="AD13" s="448"/>
      <c r="AE13" s="448"/>
      <c r="AF13" s="449"/>
      <c r="AG13" s="61"/>
      <c r="AH13" s="480" t="s">
        <v>63</v>
      </c>
      <c r="AI13" s="480"/>
      <c r="AJ13" s="480" t="s">
        <v>64</v>
      </c>
      <c r="AK13" s="480"/>
      <c r="AL13" s="480" t="s">
        <v>65</v>
      </c>
      <c r="AM13" s="480"/>
      <c r="AN13" s="480" t="s">
        <v>66</v>
      </c>
      <c r="AO13" s="480"/>
      <c r="AP13" s="480" t="s">
        <v>67</v>
      </c>
      <c r="AQ13" s="480"/>
      <c r="AR13" s="480" t="s">
        <v>68</v>
      </c>
      <c r="AS13" s="48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16"/>
      <c r="B14" s="523"/>
      <c r="C14" s="519"/>
      <c r="D14" s="519"/>
      <c r="E14" s="519"/>
      <c r="F14" s="519"/>
      <c r="G14" s="540"/>
      <c r="H14" s="530"/>
      <c r="I14" s="533"/>
      <c r="J14" s="533"/>
      <c r="K14" s="527"/>
      <c r="L14" s="527"/>
      <c r="M14" s="527"/>
      <c r="N14" s="540"/>
      <c r="O14" s="530"/>
      <c r="P14" s="577"/>
      <c r="Q14" s="578"/>
      <c r="R14" s="494"/>
      <c r="S14" s="494"/>
      <c r="T14" s="517"/>
      <c r="U14" s="495"/>
      <c r="V14" s="495"/>
      <c r="W14" s="495"/>
      <c r="X14" s="495"/>
      <c r="Y14" s="496"/>
      <c r="Z14" s="450"/>
      <c r="AA14" s="451"/>
      <c r="AB14" s="451"/>
      <c r="AC14" s="451"/>
      <c r="AD14" s="451"/>
      <c r="AE14" s="451"/>
      <c r="AF14" s="452"/>
      <c r="AG14" s="65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81" t="s">
        <v>69</v>
      </c>
      <c r="B15" s="523"/>
      <c r="C15" s="519"/>
      <c r="D15" s="519"/>
      <c r="E15" s="519"/>
      <c r="F15" s="519"/>
      <c r="G15" s="540"/>
      <c r="H15" s="530"/>
      <c r="I15" s="533"/>
      <c r="J15" s="533"/>
      <c r="K15" s="527"/>
      <c r="L15" s="527"/>
      <c r="M15" s="527"/>
      <c r="N15" s="540"/>
      <c r="O15" s="530"/>
      <c r="P15" s="577"/>
      <c r="Q15" s="578"/>
      <c r="R15" s="494"/>
      <c r="S15" s="494"/>
      <c r="T15" s="424" t="str">
        <f>'Header Info'!B15</f>
        <v>длина буровой трубы</v>
      </c>
      <c r="U15" s="425"/>
      <c r="V15" s="425" t="str">
        <f>'Header Info'!B14</f>
        <v>пол буровой</v>
      </c>
      <c r="W15" s="425"/>
      <c r="X15" s="425" t="str">
        <f>'Header Info'!B12</f>
        <v>средний уровень моря</v>
      </c>
      <c r="Y15" s="454"/>
      <c r="Z15" s="82"/>
      <c r="AA15" s="83"/>
      <c r="AB15" s="84"/>
      <c r="AC15" s="66"/>
      <c r="AD15" s="85"/>
      <c r="AE15" s="66"/>
      <c r="AF15" s="86"/>
      <c r="AG15" s="65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82"/>
      <c r="B16" s="523"/>
      <c r="C16" s="519"/>
      <c r="D16" s="519"/>
      <c r="E16" s="519"/>
      <c r="F16" s="519"/>
      <c r="G16" s="540"/>
      <c r="H16" s="530"/>
      <c r="I16" s="533"/>
      <c r="J16" s="533"/>
      <c r="K16" s="527"/>
      <c r="L16" s="527"/>
      <c r="M16" s="527"/>
      <c r="N16" s="540"/>
      <c r="O16" s="530"/>
      <c r="P16" s="577"/>
      <c r="Q16" s="578"/>
      <c r="R16" s="494"/>
      <c r="S16" s="494"/>
      <c r="T16" s="424"/>
      <c r="U16" s="425"/>
      <c r="V16" s="425"/>
      <c r="W16" s="425"/>
      <c r="X16" s="425"/>
      <c r="Y16" s="454"/>
      <c r="Z16" s="424" t="s">
        <v>70</v>
      </c>
      <c r="AA16" s="425"/>
      <c r="AB16" s="484"/>
      <c r="AC16" s="453" t="s">
        <v>4</v>
      </c>
      <c r="AD16" s="425"/>
      <c r="AE16" s="425" t="s">
        <v>2</v>
      </c>
      <c r="AF16" s="454"/>
      <c r="AG16" s="65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82"/>
      <c r="B17" s="523"/>
      <c r="C17" s="519"/>
      <c r="D17" s="519"/>
      <c r="E17" s="519"/>
      <c r="F17" s="519"/>
      <c r="G17" s="540"/>
      <c r="H17" s="530"/>
      <c r="I17" s="533"/>
      <c r="J17" s="533"/>
      <c r="K17" s="527"/>
      <c r="L17" s="527"/>
      <c r="M17" s="527"/>
      <c r="N17" s="540"/>
      <c r="O17" s="530"/>
      <c r="P17" s="577"/>
      <c r="Q17" s="578"/>
      <c r="R17" s="494"/>
      <c r="S17" s="494"/>
      <c r="T17" s="424"/>
      <c r="U17" s="425"/>
      <c r="V17" s="425"/>
      <c r="W17" s="425"/>
      <c r="X17" s="425"/>
      <c r="Y17" s="454"/>
      <c r="Z17" s="424"/>
      <c r="AA17" s="425"/>
      <c r="AB17" s="484"/>
      <c r="AC17" s="453"/>
      <c r="AD17" s="425"/>
      <c r="AE17" s="425"/>
      <c r="AF17" s="454"/>
      <c r="AG17" s="65"/>
      <c r="AH17" s="480"/>
      <c r="AI17" s="480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82"/>
      <c r="B18" s="524"/>
      <c r="C18" s="520"/>
      <c r="D18" s="520"/>
      <c r="E18" s="520"/>
      <c r="F18" s="520"/>
      <c r="G18" s="541"/>
      <c r="H18" s="530"/>
      <c r="I18" s="533"/>
      <c r="J18" s="533"/>
      <c r="K18" s="528"/>
      <c r="L18" s="528"/>
      <c r="M18" s="528"/>
      <c r="N18" s="541"/>
      <c r="O18" s="530"/>
      <c r="P18" s="581" t="s">
        <v>71</v>
      </c>
      <c r="Q18" s="582"/>
      <c r="R18" s="584" t="s">
        <v>71</v>
      </c>
      <c r="S18" s="582"/>
      <c r="T18" s="424"/>
      <c r="U18" s="425"/>
      <c r="V18" s="425"/>
      <c r="W18" s="425"/>
      <c r="X18" s="425"/>
      <c r="Y18" s="454"/>
      <c r="Z18" s="424"/>
      <c r="AA18" s="425"/>
      <c r="AB18" s="484"/>
      <c r="AC18" s="453"/>
      <c r="AD18" s="425"/>
      <c r="AE18" s="425"/>
      <c r="AF18" s="454"/>
      <c r="AG18" s="65"/>
      <c r="AH18" s="480"/>
      <c r="AI18" s="480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82"/>
      <c r="B19" s="522" t="str">
        <f>IF('Header Info'!C42="","",'Header Info'!C42)</f>
        <v/>
      </c>
      <c r="C19" s="525" t="str">
        <f>IF('Header Info'!C41="","",'Header Info'!C41)</f>
        <v/>
      </c>
      <c r="D19" s="525" t="str">
        <f>IF('Header Info'!C40="","",'Header Info'!C40)</f>
        <v>91.1°</v>
      </c>
      <c r="E19" s="543" t="str">
        <f>IF('Header Info'!C39="","",'Header Info'!C39)</f>
        <v>84.0°</v>
      </c>
      <c r="F19" s="543" t="str">
        <f>IF('Header Info'!C38="","",'Header Info'!C38)</f>
        <v>10.7°</v>
      </c>
      <c r="G19" s="527" t="s">
        <v>72</v>
      </c>
      <c r="H19" s="530"/>
      <c r="I19" s="525" t="str">
        <f>IF('Header Info'!C31="","",'Header Info'!C31)</f>
        <v/>
      </c>
      <c r="J19" s="525" t="str">
        <f>IF('Header Info'!C30="","",'Header Info'!C30)</f>
        <v/>
      </c>
      <c r="K19" s="527" t="str">
        <f>IF('Header Info'!C29="","",'Header Info'!C29)</f>
        <v>2520.0 м</v>
      </c>
      <c r="L19" s="527" t="str">
        <f>IF('Header Info'!C28="","",'Header Info'!C28)</f>
        <v>1144.0 м</v>
      </c>
      <c r="M19" s="527" t="str">
        <f>IF('Header Info'!C27="","",'Header Info'!C27)</f>
        <v>452.7 м</v>
      </c>
      <c r="N19" s="527" t="s">
        <v>42</v>
      </c>
      <c r="O19" s="530"/>
      <c r="P19" s="583"/>
      <c r="Q19" s="582"/>
      <c r="R19" s="582"/>
      <c r="S19" s="582"/>
      <c r="T19" s="424"/>
      <c r="U19" s="425"/>
      <c r="V19" s="425"/>
      <c r="W19" s="425"/>
      <c r="X19" s="425"/>
      <c r="Y19" s="454"/>
      <c r="Z19" s="424"/>
      <c r="AA19" s="425"/>
      <c r="AB19" s="484"/>
      <c r="AC19" s="453"/>
      <c r="AD19" s="425"/>
      <c r="AE19" s="425"/>
      <c r="AF19" s="454"/>
      <c r="AG19" s="65"/>
      <c r="AH19" s="480"/>
      <c r="AI19" s="480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82"/>
      <c r="B20" s="523"/>
      <c r="C20" s="519"/>
      <c r="D20" s="519"/>
      <c r="E20" s="519"/>
      <c r="F20" s="519"/>
      <c r="G20" s="527"/>
      <c r="H20" s="530"/>
      <c r="I20" s="519"/>
      <c r="J20" s="519"/>
      <c r="K20" s="527"/>
      <c r="L20" s="527"/>
      <c r="M20" s="527"/>
      <c r="N20" s="527"/>
      <c r="O20" s="530"/>
      <c r="P20" s="577">
        <f>'Header Info'!B21</f>
        <v>44672</v>
      </c>
      <c r="Q20" s="578"/>
      <c r="R20" s="457" t="str">
        <f>'Header Info'!B19</f>
        <v>2520.00 м</v>
      </c>
      <c r="S20" s="457"/>
      <c r="T20" s="424"/>
      <c r="U20" s="425"/>
      <c r="V20" s="425"/>
      <c r="W20" s="425"/>
      <c r="X20" s="425"/>
      <c r="Y20" s="454"/>
      <c r="Z20" s="424"/>
      <c r="AA20" s="425"/>
      <c r="AB20" s="484"/>
      <c r="AC20" s="453"/>
      <c r="AD20" s="425"/>
      <c r="AE20" s="425"/>
      <c r="AF20" s="454"/>
      <c r="AG20" s="65"/>
      <c r="AH20" s="480"/>
      <c r="AI20" s="480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82"/>
      <c r="B21" s="523"/>
      <c r="C21" s="519"/>
      <c r="D21" s="519"/>
      <c r="E21" s="519"/>
      <c r="F21" s="519"/>
      <c r="G21" s="527"/>
      <c r="H21" s="530"/>
      <c r="I21" s="519"/>
      <c r="J21" s="519"/>
      <c r="K21" s="527"/>
      <c r="L21" s="527"/>
      <c r="M21" s="527"/>
      <c r="N21" s="527"/>
      <c r="O21" s="530"/>
      <c r="P21" s="577"/>
      <c r="Q21" s="578"/>
      <c r="R21" s="457"/>
      <c r="S21" s="457"/>
      <c r="T21" s="424"/>
      <c r="U21" s="425"/>
      <c r="V21" s="425"/>
      <c r="W21" s="425"/>
      <c r="X21" s="425"/>
      <c r="Y21" s="454"/>
      <c r="Z21" s="424"/>
      <c r="AA21" s="425"/>
      <c r="AB21" s="484"/>
      <c r="AC21" s="453"/>
      <c r="AD21" s="425"/>
      <c r="AE21" s="425"/>
      <c r="AF21" s="454"/>
      <c r="AG21" s="65"/>
      <c r="AH21" s="480"/>
      <c r="AI21" s="480"/>
      <c r="AJ21" s="480"/>
      <c r="AK21" s="480"/>
      <c r="AL21" s="480"/>
      <c r="AM21" s="480"/>
      <c r="AN21" s="480"/>
      <c r="AO21" s="480"/>
      <c r="AP21" s="480"/>
      <c r="AQ21" s="480"/>
      <c r="AR21" s="480"/>
      <c r="AS21" s="48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82"/>
      <c r="B22" s="523"/>
      <c r="C22" s="519"/>
      <c r="D22" s="519"/>
      <c r="E22" s="519"/>
      <c r="F22" s="519"/>
      <c r="G22" s="527"/>
      <c r="H22" s="530"/>
      <c r="I22" s="519"/>
      <c r="J22" s="519"/>
      <c r="K22" s="527"/>
      <c r="L22" s="527"/>
      <c r="M22" s="527"/>
      <c r="N22" s="527"/>
      <c r="O22" s="530"/>
      <c r="P22" s="577"/>
      <c r="Q22" s="578"/>
      <c r="R22" s="457"/>
      <c r="S22" s="457"/>
      <c r="T22" s="424"/>
      <c r="U22" s="425"/>
      <c r="V22" s="425"/>
      <c r="W22" s="425"/>
      <c r="X22" s="425"/>
      <c r="Y22" s="454"/>
      <c r="Z22" s="424"/>
      <c r="AA22" s="425"/>
      <c r="AB22" s="484"/>
      <c r="AC22" s="453"/>
      <c r="AD22" s="425"/>
      <c r="AE22" s="425"/>
      <c r="AF22" s="454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82"/>
      <c r="B23" s="523"/>
      <c r="C23" s="519"/>
      <c r="D23" s="519"/>
      <c r="E23" s="519"/>
      <c r="F23" s="519"/>
      <c r="G23" s="527"/>
      <c r="H23" s="530"/>
      <c r="I23" s="519"/>
      <c r="J23" s="519"/>
      <c r="K23" s="527"/>
      <c r="L23" s="527"/>
      <c r="M23" s="527"/>
      <c r="N23" s="527"/>
      <c r="O23" s="530"/>
      <c r="P23" s="577"/>
      <c r="Q23" s="578"/>
      <c r="R23" s="457"/>
      <c r="S23" s="457"/>
      <c r="T23" s="424"/>
      <c r="U23" s="425"/>
      <c r="V23" s="509" t="s">
        <v>73</v>
      </c>
      <c r="W23" s="509"/>
      <c r="X23" s="425"/>
      <c r="Y23" s="454"/>
      <c r="Z23" s="424"/>
      <c r="AA23" s="425"/>
      <c r="AB23" s="484"/>
      <c r="AC23" s="461" t="str">
        <f>'Header Info'!E3</f>
        <v>79° 49' 45.665" В</v>
      </c>
      <c r="AD23" s="462"/>
      <c r="AE23" s="462" t="str">
        <f>'Header Info'!E2</f>
        <v>68° 31' 46.245" С</v>
      </c>
      <c r="AF23" s="463"/>
      <c r="AG23" s="65"/>
      <c r="AH23" s="444" t="str">
        <f>'Header Info'!B8</f>
        <v>W9220112</v>
      </c>
      <c r="AI23" s="445"/>
      <c r="AJ23" s="444" t="str">
        <f>'Header Info'!B7</f>
        <v>Россия</v>
      </c>
      <c r="AK23" s="445"/>
      <c r="AL23" s="444" t="str">
        <f>'Header Info'!B6</f>
        <v>БУ-3200</v>
      </c>
      <c r="AM23" s="446"/>
      <c r="AN23" s="444" t="str">
        <f>'Header Info'!B5</f>
        <v>Восточно-Мессояхское</v>
      </c>
      <c r="AO23" s="446"/>
      <c r="AP23" s="444" t="str">
        <f>'Header Info'!B3</f>
        <v>4828st03#74 Горизонтальный ствол3</v>
      </c>
      <c r="AQ23" s="446"/>
      <c r="AR23" s="444" t="str">
        <f>'Header Info'!B2</f>
        <v>АО "Мессояханефтегаз"</v>
      </c>
      <c r="AS23" s="445"/>
      <c r="AT23" s="80"/>
      <c r="AU23" s="65"/>
      <c r="AV23" s="66"/>
      <c r="AW23" s="434" t="s">
        <v>93</v>
      </c>
      <c r="AX23" s="434" t="s">
        <v>74</v>
      </c>
      <c r="AY23" s="434" t="s">
        <v>94</v>
      </c>
      <c r="AZ23" s="434" t="s">
        <v>95</v>
      </c>
      <c r="BA23" s="435" t="s">
        <v>76</v>
      </c>
      <c r="BB23" s="67"/>
      <c r="BF23" s="66"/>
    </row>
    <row r="24" spans="1:58" s="64" customFormat="1" ht="7.5" customHeight="1" x14ac:dyDescent="0.2">
      <c r="A24" s="482"/>
      <c r="B24" s="523"/>
      <c r="C24" s="519"/>
      <c r="D24" s="519"/>
      <c r="E24" s="519"/>
      <c r="F24" s="519"/>
      <c r="G24" s="527"/>
      <c r="H24" s="530"/>
      <c r="I24" s="519"/>
      <c r="J24" s="519"/>
      <c r="K24" s="527"/>
      <c r="L24" s="527"/>
      <c r="M24" s="527"/>
      <c r="N24" s="527"/>
      <c r="O24" s="530"/>
      <c r="P24" s="577"/>
      <c r="Q24" s="578"/>
      <c r="R24" s="457"/>
      <c r="S24" s="457"/>
      <c r="T24" s="424"/>
      <c r="U24" s="425"/>
      <c r="V24" s="509"/>
      <c r="W24" s="509"/>
      <c r="X24" s="425"/>
      <c r="Y24" s="454"/>
      <c r="Z24" s="424"/>
      <c r="AA24" s="425"/>
      <c r="AB24" s="484"/>
      <c r="AC24" s="461"/>
      <c r="AD24" s="462"/>
      <c r="AE24" s="462"/>
      <c r="AF24" s="463"/>
      <c r="AG24" s="65"/>
      <c r="AH24" s="444"/>
      <c r="AI24" s="445"/>
      <c r="AJ24" s="444"/>
      <c r="AK24" s="445"/>
      <c r="AL24" s="444"/>
      <c r="AM24" s="446"/>
      <c r="AN24" s="444"/>
      <c r="AO24" s="446"/>
      <c r="AP24" s="444"/>
      <c r="AQ24" s="446"/>
      <c r="AR24" s="444"/>
      <c r="AS24" s="445"/>
      <c r="AT24" s="80"/>
      <c r="AU24" s="65"/>
      <c r="AV24" s="66"/>
      <c r="AW24" s="434"/>
      <c r="AX24" s="434"/>
      <c r="AY24" s="434"/>
      <c r="AZ24" s="434"/>
      <c r="BA24" s="435"/>
      <c r="BB24" s="67"/>
      <c r="BF24" s="66"/>
    </row>
    <row r="25" spans="1:58" s="64" customFormat="1" ht="7.5" customHeight="1" x14ac:dyDescent="0.2">
      <c r="A25" s="482"/>
      <c r="B25" s="523"/>
      <c r="C25" s="519"/>
      <c r="D25" s="519"/>
      <c r="E25" s="519"/>
      <c r="F25" s="519"/>
      <c r="G25" s="527"/>
      <c r="H25" s="530"/>
      <c r="I25" s="519"/>
      <c r="J25" s="519"/>
      <c r="K25" s="527"/>
      <c r="L25" s="527"/>
      <c r="M25" s="527"/>
      <c r="N25" s="527"/>
      <c r="O25" s="530"/>
      <c r="P25" s="577"/>
      <c r="Q25" s="578"/>
      <c r="R25" s="457"/>
      <c r="S25" s="457"/>
      <c r="T25" s="424"/>
      <c r="U25" s="425"/>
      <c r="V25" s="509"/>
      <c r="W25" s="509"/>
      <c r="X25" s="425"/>
      <c r="Y25" s="454"/>
      <c r="Z25" s="424"/>
      <c r="AA25" s="425"/>
      <c r="AB25" s="484"/>
      <c r="AC25" s="461"/>
      <c r="AD25" s="462"/>
      <c r="AE25" s="462"/>
      <c r="AF25" s="463"/>
      <c r="AG25" s="65"/>
      <c r="AH25" s="444"/>
      <c r="AI25" s="445"/>
      <c r="AJ25" s="444"/>
      <c r="AK25" s="445"/>
      <c r="AL25" s="444"/>
      <c r="AM25" s="446"/>
      <c r="AN25" s="444"/>
      <c r="AO25" s="446"/>
      <c r="AP25" s="444"/>
      <c r="AQ25" s="446"/>
      <c r="AR25" s="444"/>
      <c r="AS25" s="445"/>
      <c r="AT25" s="88"/>
      <c r="AU25" s="65"/>
      <c r="AV25" s="66"/>
      <c r="AW25" s="434"/>
      <c r="AX25" s="434"/>
      <c r="AY25" s="434"/>
      <c r="AZ25" s="434"/>
      <c r="BA25" s="435"/>
      <c r="BB25" s="67"/>
      <c r="BF25" s="66"/>
    </row>
    <row r="26" spans="1:58" s="64" customFormat="1" ht="7.5" customHeight="1" x14ac:dyDescent="0.2">
      <c r="A26" s="482"/>
      <c r="B26" s="523"/>
      <c r="C26" s="519"/>
      <c r="D26" s="519"/>
      <c r="E26" s="519"/>
      <c r="F26" s="519"/>
      <c r="G26" s="527"/>
      <c r="H26" s="530"/>
      <c r="I26" s="519"/>
      <c r="J26" s="519"/>
      <c r="K26" s="527"/>
      <c r="L26" s="527"/>
      <c r="M26" s="527"/>
      <c r="N26" s="527"/>
      <c r="O26" s="530"/>
      <c r="P26" s="577"/>
      <c r="Q26" s="578"/>
      <c r="R26" s="457"/>
      <c r="S26" s="457"/>
      <c r="T26" s="424"/>
      <c r="U26" s="425"/>
      <c r="V26" s="509"/>
      <c r="W26" s="509"/>
      <c r="X26" s="425"/>
      <c r="Y26" s="454"/>
      <c r="Z26" s="424" t="str">
        <f>'Header Info'!B10</f>
        <v>ННБ, Гамма, Сопротивление, Плотность, Пористость, Кавернометрия.</v>
      </c>
      <c r="AA26" s="425"/>
      <c r="AB26" s="484"/>
      <c r="AC26" s="461"/>
      <c r="AD26" s="462"/>
      <c r="AE26" s="462"/>
      <c r="AF26" s="463"/>
      <c r="AG26" s="65"/>
      <c r="AH26" s="444"/>
      <c r="AI26" s="445"/>
      <c r="AJ26" s="444"/>
      <c r="AK26" s="445"/>
      <c r="AL26" s="444"/>
      <c r="AM26" s="446"/>
      <c r="AN26" s="444"/>
      <c r="AO26" s="446"/>
      <c r="AP26" s="444"/>
      <c r="AQ26" s="446"/>
      <c r="AR26" s="444"/>
      <c r="AS26" s="445"/>
      <c r="AT26" s="66"/>
      <c r="AU26" s="65"/>
      <c r="AV26" s="66"/>
      <c r="AW26" s="434"/>
      <c r="AX26" s="434"/>
      <c r="AY26" s="434"/>
      <c r="AZ26" s="434"/>
      <c r="BA26" s="435"/>
      <c r="BB26" s="67"/>
      <c r="BF26" s="66"/>
    </row>
    <row r="27" spans="1:58" s="64" customFormat="1" ht="7.5" customHeight="1" thickBot="1" x14ac:dyDescent="0.25">
      <c r="A27" s="544"/>
      <c r="B27" s="542"/>
      <c r="C27" s="536"/>
      <c r="D27" s="536"/>
      <c r="E27" s="536"/>
      <c r="F27" s="536"/>
      <c r="G27" s="537"/>
      <c r="H27" s="531"/>
      <c r="I27" s="536"/>
      <c r="J27" s="536"/>
      <c r="K27" s="537"/>
      <c r="L27" s="537"/>
      <c r="M27" s="537"/>
      <c r="N27" s="537"/>
      <c r="O27" s="531"/>
      <c r="P27" s="579"/>
      <c r="Q27" s="580"/>
      <c r="R27" s="508"/>
      <c r="S27" s="508"/>
      <c r="T27" s="424"/>
      <c r="U27" s="425"/>
      <c r="V27" s="425" t="str">
        <f>'Header Info'!B13</f>
        <v>44.21 м</v>
      </c>
      <c r="W27" s="425"/>
      <c r="X27" s="425"/>
      <c r="Y27" s="454"/>
      <c r="Z27" s="424"/>
      <c r="AA27" s="425"/>
      <c r="AB27" s="484"/>
      <c r="AC27" s="461"/>
      <c r="AD27" s="462"/>
      <c r="AE27" s="462"/>
      <c r="AF27" s="463"/>
      <c r="AG27" s="65"/>
      <c r="AH27" s="444"/>
      <c r="AI27" s="445"/>
      <c r="AJ27" s="444"/>
      <c r="AK27" s="445"/>
      <c r="AL27" s="444"/>
      <c r="AM27" s="446"/>
      <c r="AN27" s="444"/>
      <c r="AO27" s="446"/>
      <c r="AP27" s="444"/>
      <c r="AQ27" s="446"/>
      <c r="AR27" s="444"/>
      <c r="AS27" s="445"/>
      <c r="AT27" s="66"/>
      <c r="AU27" s="65"/>
      <c r="AV27" s="66"/>
      <c r="AW27" s="434"/>
      <c r="AX27" s="434"/>
      <c r="AY27" s="434"/>
      <c r="AZ27" s="434"/>
      <c r="BA27" s="435"/>
      <c r="BB27" s="67"/>
      <c r="BF27" s="66"/>
    </row>
    <row r="28" spans="1:58" s="64" customFormat="1" ht="7.5" customHeight="1" x14ac:dyDescent="0.2">
      <c r="A28" s="421" t="s">
        <v>77</v>
      </c>
      <c r="B28" s="576" t="str">
        <f>IF('Header Info'!D42="","",'Header Info'!D42)</f>
        <v/>
      </c>
      <c r="C28" s="548" t="str">
        <f>IF('Header Info'!D41="","",'Header Info'!D41)</f>
        <v/>
      </c>
      <c r="D28" s="548" t="str">
        <f>IF('Header Info'!D40="","",'Header Info'!D40)</f>
        <v>Биополимерный KCL</v>
      </c>
      <c r="E28" s="548" t="str">
        <f>IF('Header Info'!D39="","",'Header Info'!D39)</f>
        <v>Биополимерный KCL</v>
      </c>
      <c r="F28" s="548" t="str">
        <f>IF('Header Info'!D38="","",'Header Info'!D38)</f>
        <v>Биополимерный KCL</v>
      </c>
      <c r="G28" s="558" t="s">
        <v>49</v>
      </c>
      <c r="H28" s="560" t="s">
        <v>46</v>
      </c>
      <c r="I28" s="549" t="str">
        <f>IF('Header Info'!D31="","",'Header Info'!D31)</f>
        <v/>
      </c>
      <c r="J28" s="565" t="str">
        <f>IF('Header Info'!D30="","",'Header Info'!D30)</f>
        <v/>
      </c>
      <c r="K28" s="565" t="str">
        <f>IF('Header Info'!D29="","",'Header Info'!D29)</f>
        <v/>
      </c>
      <c r="L28" s="565" t="str">
        <f>IF('Header Info'!D28="","",'Header Info'!D28)</f>
        <v>178.0 мм</v>
      </c>
      <c r="M28" s="565" t="str">
        <f>IF('Header Info'!D27="","",'Header Info'!D27)</f>
        <v>245.0 мм</v>
      </c>
      <c r="N28" s="558" t="s">
        <v>43</v>
      </c>
      <c r="O28" s="560" t="s">
        <v>96</v>
      </c>
      <c r="P28" s="89"/>
      <c r="Q28" s="90"/>
      <c r="R28" s="91"/>
      <c r="S28" s="91"/>
      <c r="T28" s="424"/>
      <c r="U28" s="425"/>
      <c r="V28" s="425"/>
      <c r="W28" s="425"/>
      <c r="X28" s="425"/>
      <c r="Y28" s="454"/>
      <c r="Z28" s="424"/>
      <c r="AA28" s="425"/>
      <c r="AB28" s="484"/>
      <c r="AC28" s="461"/>
      <c r="AD28" s="462"/>
      <c r="AE28" s="462"/>
      <c r="AF28" s="463"/>
      <c r="AG28" s="65"/>
      <c r="AH28" s="444"/>
      <c r="AI28" s="445"/>
      <c r="AJ28" s="444"/>
      <c r="AK28" s="445"/>
      <c r="AL28" s="444"/>
      <c r="AM28" s="446"/>
      <c r="AN28" s="444"/>
      <c r="AO28" s="446"/>
      <c r="AP28" s="444"/>
      <c r="AQ28" s="446"/>
      <c r="AR28" s="444"/>
      <c r="AS28" s="445"/>
      <c r="AT28" s="66"/>
      <c r="AU28" s="65"/>
      <c r="AV28" s="66"/>
      <c r="AW28" s="434"/>
      <c r="AX28" s="434"/>
      <c r="AY28" s="434"/>
      <c r="AZ28" s="434"/>
      <c r="BA28" s="435"/>
      <c r="BB28" s="67"/>
      <c r="BF28" s="66"/>
    </row>
    <row r="29" spans="1:58" s="64" customFormat="1" ht="7.5" customHeight="1" x14ac:dyDescent="0.2">
      <c r="A29" s="422"/>
      <c r="B29" s="523"/>
      <c r="C29" s="519"/>
      <c r="D29" s="519"/>
      <c r="E29" s="519"/>
      <c r="F29" s="519"/>
      <c r="G29" s="559"/>
      <c r="H29" s="561"/>
      <c r="I29" s="563"/>
      <c r="J29" s="559"/>
      <c r="K29" s="559"/>
      <c r="L29" s="559"/>
      <c r="M29" s="559"/>
      <c r="N29" s="559"/>
      <c r="O29" s="561"/>
      <c r="P29" s="424" t="s">
        <v>78</v>
      </c>
      <c r="Q29" s="425"/>
      <c r="R29" s="425" t="s">
        <v>37</v>
      </c>
      <c r="S29" s="425"/>
      <c r="T29" s="424" t="s">
        <v>79</v>
      </c>
      <c r="U29" s="425"/>
      <c r="V29" s="425"/>
      <c r="W29" s="425"/>
      <c r="X29" s="425"/>
      <c r="Y29" s="454"/>
      <c r="Z29" s="424"/>
      <c r="AA29" s="425"/>
      <c r="AB29" s="484"/>
      <c r="AC29" s="461"/>
      <c r="AD29" s="462"/>
      <c r="AE29" s="462"/>
      <c r="AF29" s="463"/>
      <c r="AG29" s="65"/>
      <c r="AH29" s="444"/>
      <c r="AI29" s="445"/>
      <c r="AJ29" s="444"/>
      <c r="AK29" s="445"/>
      <c r="AL29" s="444"/>
      <c r="AM29" s="446"/>
      <c r="AN29" s="444"/>
      <c r="AO29" s="446"/>
      <c r="AP29" s="444"/>
      <c r="AQ29" s="446"/>
      <c r="AR29" s="444"/>
      <c r="AS29" s="445"/>
      <c r="AT29" s="66"/>
      <c r="AU29" s="65"/>
      <c r="AV29" s="66"/>
      <c r="AW29" s="434"/>
      <c r="AX29" s="434"/>
      <c r="AY29" s="434"/>
      <c r="AZ29" s="434"/>
      <c r="BA29" s="435"/>
      <c r="BB29" s="67"/>
    </row>
    <row r="30" spans="1:58" s="64" customFormat="1" ht="7.5" customHeight="1" x14ac:dyDescent="0.2">
      <c r="A30" s="422"/>
      <c r="B30" s="523"/>
      <c r="C30" s="519"/>
      <c r="D30" s="519"/>
      <c r="E30" s="519"/>
      <c r="F30" s="519"/>
      <c r="G30" s="559"/>
      <c r="H30" s="561"/>
      <c r="I30" s="563"/>
      <c r="J30" s="559"/>
      <c r="K30" s="559"/>
      <c r="L30" s="559"/>
      <c r="M30" s="559"/>
      <c r="N30" s="559"/>
      <c r="O30" s="561"/>
      <c r="P30" s="424"/>
      <c r="Q30" s="425"/>
      <c r="R30" s="425"/>
      <c r="S30" s="425"/>
      <c r="T30" s="424"/>
      <c r="U30" s="425"/>
      <c r="V30" s="425"/>
      <c r="W30" s="425"/>
      <c r="X30" s="425"/>
      <c r="Y30" s="454"/>
      <c r="Z30" s="424"/>
      <c r="AA30" s="425"/>
      <c r="AB30" s="484"/>
      <c r="AC30" s="461"/>
      <c r="AD30" s="462"/>
      <c r="AE30" s="462"/>
      <c r="AF30" s="463"/>
      <c r="AG30" s="65"/>
      <c r="AH30" s="444"/>
      <c r="AI30" s="445"/>
      <c r="AJ30" s="444"/>
      <c r="AK30" s="445"/>
      <c r="AL30" s="444"/>
      <c r="AM30" s="446"/>
      <c r="AN30" s="444"/>
      <c r="AO30" s="446"/>
      <c r="AP30" s="444"/>
      <c r="AQ30" s="446"/>
      <c r="AR30" s="444"/>
      <c r="AS30" s="445"/>
      <c r="AT30" s="66"/>
      <c r="AU30" s="65"/>
      <c r="AV30" s="66"/>
      <c r="AW30" s="434"/>
      <c r="AX30" s="434"/>
      <c r="AY30" s="434"/>
      <c r="AZ30" s="434"/>
      <c r="BA30" s="435"/>
      <c r="BB30" s="67"/>
    </row>
    <row r="31" spans="1:58" s="64" customFormat="1" ht="7.5" customHeight="1" x14ac:dyDescent="0.2">
      <c r="A31" s="422"/>
      <c r="B31" s="523"/>
      <c r="C31" s="519"/>
      <c r="D31" s="519"/>
      <c r="E31" s="519"/>
      <c r="F31" s="519"/>
      <c r="G31" s="559"/>
      <c r="H31" s="561"/>
      <c r="I31" s="563"/>
      <c r="J31" s="559"/>
      <c r="K31" s="559"/>
      <c r="L31" s="559"/>
      <c r="M31" s="559"/>
      <c r="N31" s="559"/>
      <c r="O31" s="561"/>
      <c r="P31" s="424"/>
      <c r="Q31" s="425"/>
      <c r="R31" s="425"/>
      <c r="S31" s="425"/>
      <c r="T31" s="424"/>
      <c r="U31" s="425"/>
      <c r="V31" s="425"/>
      <c r="W31" s="425"/>
      <c r="X31" s="425"/>
      <c r="Y31" s="454"/>
      <c r="Z31" s="424"/>
      <c r="AA31" s="425"/>
      <c r="AB31" s="484"/>
      <c r="AC31" s="461"/>
      <c r="AD31" s="462"/>
      <c r="AE31" s="462"/>
      <c r="AF31" s="463"/>
      <c r="AG31" s="65"/>
      <c r="AH31" s="444"/>
      <c r="AI31" s="445"/>
      <c r="AJ31" s="444"/>
      <c r="AK31" s="445"/>
      <c r="AL31" s="444"/>
      <c r="AM31" s="446"/>
      <c r="AN31" s="444"/>
      <c r="AO31" s="446"/>
      <c r="AP31" s="444"/>
      <c r="AQ31" s="446"/>
      <c r="AR31" s="444"/>
      <c r="AS31" s="445"/>
      <c r="AT31" s="66"/>
      <c r="AU31" s="65"/>
      <c r="AV31" s="66"/>
      <c r="AW31" s="434"/>
      <c r="AX31" s="434"/>
      <c r="AY31" s="434"/>
      <c r="AZ31" s="434"/>
      <c r="BA31" s="435"/>
      <c r="BB31" s="67"/>
    </row>
    <row r="32" spans="1:58" s="64" customFormat="1" ht="7.5" customHeight="1" x14ac:dyDescent="0.2">
      <c r="A32" s="422"/>
      <c r="B32" s="523"/>
      <c r="C32" s="519"/>
      <c r="D32" s="519"/>
      <c r="E32" s="519"/>
      <c r="F32" s="519"/>
      <c r="G32" s="559"/>
      <c r="H32" s="561"/>
      <c r="I32" s="563"/>
      <c r="J32" s="559"/>
      <c r="K32" s="559"/>
      <c r="L32" s="559"/>
      <c r="M32" s="559"/>
      <c r="N32" s="559"/>
      <c r="O32" s="561"/>
      <c r="P32" s="424"/>
      <c r="Q32" s="425"/>
      <c r="R32" s="425"/>
      <c r="S32" s="425"/>
      <c r="T32" s="424"/>
      <c r="U32" s="425"/>
      <c r="V32" s="425"/>
      <c r="W32" s="425"/>
      <c r="X32" s="425"/>
      <c r="Y32" s="454"/>
      <c r="Z32" s="424"/>
      <c r="AA32" s="425"/>
      <c r="AB32" s="484"/>
      <c r="AC32" s="461"/>
      <c r="AD32" s="462"/>
      <c r="AE32" s="462"/>
      <c r="AF32" s="463"/>
      <c r="AG32" s="65"/>
      <c r="AH32" s="444"/>
      <c r="AI32" s="445"/>
      <c r="AJ32" s="444"/>
      <c r="AK32" s="445"/>
      <c r="AL32" s="444"/>
      <c r="AM32" s="446"/>
      <c r="AN32" s="444"/>
      <c r="AO32" s="446"/>
      <c r="AP32" s="444"/>
      <c r="AQ32" s="446"/>
      <c r="AR32" s="444"/>
      <c r="AS32" s="445"/>
      <c r="AT32" s="66"/>
      <c r="AU32" s="65"/>
      <c r="AV32" s="66"/>
      <c r="AW32" s="434"/>
      <c r="AX32" s="434"/>
      <c r="AY32" s="434"/>
      <c r="AZ32" s="434"/>
      <c r="BA32" s="435"/>
      <c r="BB32" s="67"/>
    </row>
    <row r="33" spans="1:56" s="64" customFormat="1" ht="7.5" customHeight="1" x14ac:dyDescent="0.2">
      <c r="A33" s="422"/>
      <c r="B33" s="523"/>
      <c r="C33" s="519"/>
      <c r="D33" s="519"/>
      <c r="E33" s="519"/>
      <c r="F33" s="519"/>
      <c r="G33" s="559"/>
      <c r="H33" s="561"/>
      <c r="I33" s="563"/>
      <c r="J33" s="559"/>
      <c r="K33" s="559"/>
      <c r="L33" s="559"/>
      <c r="M33" s="559"/>
      <c r="N33" s="559"/>
      <c r="O33" s="561"/>
      <c r="P33" s="424"/>
      <c r="Q33" s="425"/>
      <c r="R33" s="425"/>
      <c r="S33" s="425"/>
      <c r="T33" s="424"/>
      <c r="U33" s="425"/>
      <c r="V33" s="425" t="s">
        <v>22</v>
      </c>
      <c r="W33" s="425"/>
      <c r="X33" s="92"/>
      <c r="Y33" s="93"/>
      <c r="Z33" s="424"/>
      <c r="AA33" s="425"/>
      <c r="AB33" s="484"/>
      <c r="AC33" s="436" t="s">
        <v>80</v>
      </c>
      <c r="AD33" s="437"/>
      <c r="AE33" s="437" t="s">
        <v>81</v>
      </c>
      <c r="AF33" s="438"/>
      <c r="AG33" s="65"/>
      <c r="AH33" s="444"/>
      <c r="AI33" s="445"/>
      <c r="AJ33" s="444"/>
      <c r="AK33" s="445"/>
      <c r="AL33" s="444"/>
      <c r="AM33" s="446"/>
      <c r="AN33" s="444"/>
      <c r="AO33" s="446"/>
      <c r="AP33" s="444"/>
      <c r="AQ33" s="446"/>
      <c r="AR33" s="444"/>
      <c r="AS33" s="445"/>
      <c r="AT33" s="66"/>
      <c r="AU33" s="65"/>
      <c r="AV33" s="66"/>
      <c r="AW33" s="434"/>
      <c r="AX33" s="434"/>
      <c r="AY33" s="434"/>
      <c r="AZ33" s="434"/>
      <c r="BA33" s="435"/>
      <c r="BB33" s="67"/>
    </row>
    <row r="34" spans="1:56" s="64" customFormat="1" ht="7.5" customHeight="1" x14ac:dyDescent="0.2">
      <c r="A34" s="422"/>
      <c r="B34" s="523"/>
      <c r="C34" s="519"/>
      <c r="D34" s="519"/>
      <c r="E34" s="519"/>
      <c r="F34" s="519"/>
      <c r="G34" s="559"/>
      <c r="H34" s="561"/>
      <c r="I34" s="563"/>
      <c r="J34" s="559"/>
      <c r="K34" s="559"/>
      <c r="L34" s="559"/>
      <c r="M34" s="559"/>
      <c r="N34" s="559"/>
      <c r="O34" s="561"/>
      <c r="P34" s="424"/>
      <c r="Q34" s="425"/>
      <c r="R34" s="425"/>
      <c r="S34" s="425"/>
      <c r="T34" s="424"/>
      <c r="U34" s="425"/>
      <c r="V34" s="425"/>
      <c r="W34" s="425"/>
      <c r="X34" s="92"/>
      <c r="Y34" s="93"/>
      <c r="Z34" s="424"/>
      <c r="AA34" s="425"/>
      <c r="AB34" s="484"/>
      <c r="AC34" s="436"/>
      <c r="AD34" s="437"/>
      <c r="AE34" s="437"/>
      <c r="AF34" s="438"/>
      <c r="AG34" s="65"/>
      <c r="AH34" s="444"/>
      <c r="AI34" s="445"/>
      <c r="AJ34" s="444"/>
      <c r="AK34" s="445"/>
      <c r="AL34" s="444"/>
      <c r="AM34" s="446"/>
      <c r="AN34" s="444"/>
      <c r="AO34" s="446"/>
      <c r="AP34" s="444"/>
      <c r="AQ34" s="446"/>
      <c r="AR34" s="444"/>
      <c r="AS34" s="445"/>
      <c r="AT34" s="66"/>
      <c r="AU34" s="65"/>
      <c r="AV34" s="66"/>
      <c r="AW34" s="434"/>
      <c r="AX34" s="434"/>
      <c r="AY34" s="434"/>
      <c r="AZ34" s="434"/>
      <c r="BA34" s="435"/>
      <c r="BB34" s="67"/>
    </row>
    <row r="35" spans="1:56" s="64" customFormat="1" ht="7.5" customHeight="1" x14ac:dyDescent="0.2">
      <c r="A35" s="422"/>
      <c r="B35" s="524"/>
      <c r="C35" s="520"/>
      <c r="D35" s="520"/>
      <c r="E35" s="520"/>
      <c r="F35" s="520"/>
      <c r="G35" s="559"/>
      <c r="H35" s="561"/>
      <c r="I35" s="564"/>
      <c r="J35" s="559"/>
      <c r="K35" s="559"/>
      <c r="L35" s="559"/>
      <c r="M35" s="559"/>
      <c r="N35" s="559"/>
      <c r="O35" s="561"/>
      <c r="P35" s="424"/>
      <c r="Q35" s="425"/>
      <c r="R35" s="425"/>
      <c r="S35" s="425"/>
      <c r="T35" s="424"/>
      <c r="U35" s="425"/>
      <c r="V35" s="425"/>
      <c r="W35" s="425"/>
      <c r="X35" s="66"/>
      <c r="Y35" s="67"/>
      <c r="Z35" s="424"/>
      <c r="AA35" s="425"/>
      <c r="AB35" s="484"/>
      <c r="AC35" s="439">
        <f>'Header Info'!E4</f>
        <v>0</v>
      </c>
      <c r="AD35" s="440"/>
      <c r="AE35" s="464">
        <f>'Header Info'!E5</f>
        <v>0</v>
      </c>
      <c r="AF35" s="465"/>
      <c r="AG35" s="65"/>
      <c r="AH35" s="444"/>
      <c r="AI35" s="445"/>
      <c r="AJ35" s="444"/>
      <c r="AK35" s="445"/>
      <c r="AL35" s="444"/>
      <c r="AM35" s="446"/>
      <c r="AN35" s="444"/>
      <c r="AO35" s="446"/>
      <c r="AP35" s="444"/>
      <c r="AQ35" s="446"/>
      <c r="AR35" s="444"/>
      <c r="AS35" s="445"/>
      <c r="AT35" s="66"/>
      <c r="AU35" s="65"/>
      <c r="AV35" s="66"/>
      <c r="AW35" s="434"/>
      <c r="AX35" s="434"/>
      <c r="AY35" s="434"/>
      <c r="AZ35" s="434"/>
      <c r="BA35" s="435"/>
      <c r="BB35" s="67"/>
    </row>
    <row r="36" spans="1:56" s="64" customFormat="1" ht="7.5" customHeight="1" x14ac:dyDescent="0.2">
      <c r="A36" s="422"/>
      <c r="B36" s="552" t="str">
        <f>IF('Header Info'!E42="","",'Header Info'!E42)</f>
        <v/>
      </c>
      <c r="C36" s="543" t="str">
        <f>IF('Header Info'!E41="","",'Header Info'!E41)</f>
        <v/>
      </c>
      <c r="D36" s="543">
        <f>IF('Header Info'!E40="","",'Header Info'!E40)</f>
        <v>1.1200000000000001</v>
      </c>
      <c r="E36" s="543">
        <f>IF('Header Info'!E39="","",'Header Info'!E39)</f>
        <v>1.24</v>
      </c>
      <c r="F36" s="543">
        <f>IF('Header Info'!E38="","",'Header Info'!E38)</f>
        <v>1.1299999999999999</v>
      </c>
      <c r="G36" s="557" t="s">
        <v>82</v>
      </c>
      <c r="H36" s="561"/>
      <c r="I36" s="557" t="str">
        <f>IF('Header Info'!E31="","",'Header Info'!E31)</f>
        <v/>
      </c>
      <c r="J36" s="557" t="str">
        <f>IF('Header Info'!E30="","",'Header Info'!E30)</f>
        <v/>
      </c>
      <c r="K36" s="557" t="str">
        <f>IF('Header Info'!E29="","",'Header Info'!E29)</f>
        <v/>
      </c>
      <c r="L36" s="557" t="str">
        <f>IF('Header Info'!E28="","",'Header Info'!E28)</f>
        <v>-</v>
      </c>
      <c r="M36" s="557" t="str">
        <f>IF('Header Info'!E27="","",'Header Info'!E27)</f>
        <v>-</v>
      </c>
      <c r="N36" s="557" t="s">
        <v>44</v>
      </c>
      <c r="O36" s="561"/>
      <c r="P36" s="424"/>
      <c r="Q36" s="425"/>
      <c r="R36" s="425"/>
      <c r="S36" s="425"/>
      <c r="T36" s="424"/>
      <c r="U36" s="425"/>
      <c r="V36" s="425"/>
      <c r="W36" s="425"/>
      <c r="X36" s="66"/>
      <c r="Y36" s="67"/>
      <c r="Z36" s="424"/>
      <c r="AA36" s="425"/>
      <c r="AB36" s="484"/>
      <c r="AC36" s="441"/>
      <c r="AD36" s="440"/>
      <c r="AE36" s="440"/>
      <c r="AF36" s="465"/>
      <c r="AG36" s="65"/>
      <c r="AH36" s="444"/>
      <c r="AI36" s="445"/>
      <c r="AJ36" s="444"/>
      <c r="AK36" s="445"/>
      <c r="AL36" s="444"/>
      <c r="AM36" s="446"/>
      <c r="AN36" s="444"/>
      <c r="AO36" s="446"/>
      <c r="AP36" s="444"/>
      <c r="AQ36" s="446"/>
      <c r="AR36" s="444"/>
      <c r="AS36" s="445"/>
      <c r="AT36" s="66"/>
      <c r="AU36" s="65"/>
      <c r="AV36" s="66"/>
      <c r="AW36" s="434"/>
      <c r="AX36" s="434"/>
      <c r="AY36" s="434"/>
      <c r="AZ36" s="434"/>
      <c r="BA36" s="435"/>
      <c r="BB36" s="67"/>
    </row>
    <row r="37" spans="1:56" s="64" customFormat="1" ht="7.5" customHeight="1" x14ac:dyDescent="0.2">
      <c r="A37" s="422"/>
      <c r="B37" s="553"/>
      <c r="C37" s="555"/>
      <c r="D37" s="555"/>
      <c r="E37" s="555"/>
      <c r="F37" s="555"/>
      <c r="G37" s="557"/>
      <c r="H37" s="559"/>
      <c r="I37" s="557"/>
      <c r="J37" s="557"/>
      <c r="K37" s="557"/>
      <c r="L37" s="557"/>
      <c r="M37" s="557"/>
      <c r="N37" s="557"/>
      <c r="O37" s="559"/>
      <c r="P37" s="577">
        <f>'Header Info'!B23</f>
        <v>44669</v>
      </c>
      <c r="Q37" s="578"/>
      <c r="R37" s="430">
        <f>'Header Info'!B22</f>
        <v>1</v>
      </c>
      <c r="S37" s="430"/>
      <c r="T37" s="467" t="str">
        <f>'Header Info'!B16</f>
        <v>2520.00 м</v>
      </c>
      <c r="U37" s="457"/>
      <c r="V37" s="425"/>
      <c r="W37" s="425"/>
      <c r="X37" s="82"/>
      <c r="Y37" s="94"/>
      <c r="Z37" s="424"/>
      <c r="AA37" s="425"/>
      <c r="AB37" s="484"/>
      <c r="AC37" s="441"/>
      <c r="AD37" s="440"/>
      <c r="AE37" s="440"/>
      <c r="AF37" s="465"/>
      <c r="AG37" s="65"/>
      <c r="AH37" s="444"/>
      <c r="AI37" s="445"/>
      <c r="AJ37" s="444"/>
      <c r="AK37" s="445"/>
      <c r="AL37" s="444"/>
      <c r="AM37" s="446"/>
      <c r="AN37" s="444"/>
      <c r="AO37" s="446"/>
      <c r="AP37" s="444"/>
      <c r="AQ37" s="446"/>
      <c r="AR37" s="444"/>
      <c r="AS37" s="445"/>
      <c r="AT37" s="66"/>
      <c r="AU37" s="65"/>
      <c r="AV37" s="66"/>
      <c r="AW37" s="434"/>
      <c r="AX37" s="434"/>
      <c r="AY37" s="434"/>
      <c r="AZ37" s="434"/>
      <c r="BA37" s="435"/>
      <c r="BB37" s="67"/>
    </row>
    <row r="38" spans="1:56" s="64" customFormat="1" ht="7.5" customHeight="1" x14ac:dyDescent="0.2">
      <c r="A38" s="422"/>
      <c r="B38" s="553"/>
      <c r="C38" s="555"/>
      <c r="D38" s="555"/>
      <c r="E38" s="555"/>
      <c r="F38" s="555"/>
      <c r="G38" s="557"/>
      <c r="H38" s="559"/>
      <c r="I38" s="557"/>
      <c r="J38" s="557"/>
      <c r="K38" s="557"/>
      <c r="L38" s="557"/>
      <c r="M38" s="557"/>
      <c r="N38" s="557"/>
      <c r="O38" s="559"/>
      <c r="P38" s="577"/>
      <c r="Q38" s="578"/>
      <c r="R38" s="430"/>
      <c r="S38" s="430"/>
      <c r="T38" s="467"/>
      <c r="U38" s="457"/>
      <c r="V38" s="425"/>
      <c r="W38" s="425"/>
      <c r="X38" s="82"/>
      <c r="Y38" s="94"/>
      <c r="Z38" s="424"/>
      <c r="AA38" s="425"/>
      <c r="AB38" s="484"/>
      <c r="AC38" s="441"/>
      <c r="AD38" s="440"/>
      <c r="AE38" s="440"/>
      <c r="AF38" s="465"/>
      <c r="AG38" s="65"/>
      <c r="AH38" s="444"/>
      <c r="AI38" s="445"/>
      <c r="AJ38" s="444"/>
      <c r="AK38" s="445"/>
      <c r="AL38" s="444"/>
      <c r="AM38" s="446"/>
      <c r="AN38" s="444"/>
      <c r="AO38" s="446"/>
      <c r="AP38" s="444"/>
      <c r="AQ38" s="446"/>
      <c r="AR38" s="444"/>
      <c r="AS38" s="445"/>
      <c r="AT38" s="66"/>
      <c r="AU38" s="65"/>
      <c r="AV38" s="66"/>
      <c r="AW38" s="434"/>
      <c r="AX38" s="434"/>
      <c r="AY38" s="434"/>
      <c r="AZ38" s="434"/>
      <c r="BA38" s="435"/>
      <c r="BB38" s="67"/>
    </row>
    <row r="39" spans="1:56" s="64" customFormat="1" ht="7.5" customHeight="1" x14ac:dyDescent="0.2">
      <c r="A39" s="422"/>
      <c r="B39" s="553"/>
      <c r="C39" s="555"/>
      <c r="D39" s="555"/>
      <c r="E39" s="555"/>
      <c r="F39" s="555"/>
      <c r="G39" s="557"/>
      <c r="H39" s="559"/>
      <c r="I39" s="557"/>
      <c r="J39" s="557"/>
      <c r="K39" s="557"/>
      <c r="L39" s="557"/>
      <c r="M39" s="557"/>
      <c r="N39" s="557"/>
      <c r="O39" s="559"/>
      <c r="P39" s="577"/>
      <c r="Q39" s="578"/>
      <c r="R39" s="430"/>
      <c r="S39" s="430"/>
      <c r="T39" s="467"/>
      <c r="U39" s="457"/>
      <c r="V39" s="425"/>
      <c r="W39" s="425"/>
      <c r="X39" s="66"/>
      <c r="Y39" s="67"/>
      <c r="Z39" s="424"/>
      <c r="AA39" s="425"/>
      <c r="AB39" s="484"/>
      <c r="AC39" s="441"/>
      <c r="AD39" s="440"/>
      <c r="AE39" s="440"/>
      <c r="AF39" s="465"/>
      <c r="AG39" s="65"/>
      <c r="AH39" s="444"/>
      <c r="AI39" s="445"/>
      <c r="AJ39" s="444"/>
      <c r="AK39" s="445"/>
      <c r="AL39" s="444"/>
      <c r="AM39" s="446"/>
      <c r="AN39" s="444"/>
      <c r="AO39" s="446"/>
      <c r="AP39" s="444"/>
      <c r="AQ39" s="446"/>
      <c r="AR39" s="444"/>
      <c r="AS39" s="445"/>
      <c r="AT39" s="66"/>
      <c r="AU39" s="65"/>
      <c r="AV39" s="66"/>
      <c r="AW39" s="434"/>
      <c r="AX39" s="434"/>
      <c r="AY39" s="434"/>
      <c r="AZ39" s="434"/>
      <c r="BA39" s="435"/>
      <c r="BB39" s="67"/>
    </row>
    <row r="40" spans="1:56" s="64" customFormat="1" ht="7.5" customHeight="1" x14ac:dyDescent="0.2">
      <c r="A40" s="422"/>
      <c r="B40" s="553"/>
      <c r="C40" s="555"/>
      <c r="D40" s="555"/>
      <c r="E40" s="555"/>
      <c r="F40" s="555"/>
      <c r="G40" s="557"/>
      <c r="H40" s="559"/>
      <c r="I40" s="557"/>
      <c r="J40" s="557"/>
      <c r="K40" s="557"/>
      <c r="L40" s="557"/>
      <c r="M40" s="557"/>
      <c r="N40" s="557"/>
      <c r="O40" s="559"/>
      <c r="P40" s="577"/>
      <c r="Q40" s="578"/>
      <c r="R40" s="430"/>
      <c r="S40" s="430"/>
      <c r="T40" s="467"/>
      <c r="U40" s="457"/>
      <c r="V40" s="425"/>
      <c r="W40" s="425"/>
      <c r="X40" s="66"/>
      <c r="Y40" s="67"/>
      <c r="Z40" s="424"/>
      <c r="AA40" s="425"/>
      <c r="AB40" s="484"/>
      <c r="AC40" s="441"/>
      <c r="AD40" s="440"/>
      <c r="AE40" s="440"/>
      <c r="AF40" s="465"/>
      <c r="AG40" s="65"/>
      <c r="AH40" s="444"/>
      <c r="AI40" s="445"/>
      <c r="AJ40" s="444"/>
      <c r="AK40" s="445"/>
      <c r="AL40" s="444"/>
      <c r="AM40" s="446"/>
      <c r="AN40" s="444"/>
      <c r="AO40" s="446"/>
      <c r="AP40" s="444"/>
      <c r="AQ40" s="446"/>
      <c r="AR40" s="444"/>
      <c r="AS40" s="445"/>
      <c r="AT40" s="66"/>
      <c r="AU40" s="65"/>
      <c r="AV40" s="66"/>
      <c r="AW40" s="434"/>
      <c r="AX40" s="434"/>
      <c r="AY40" s="434"/>
      <c r="AZ40" s="434"/>
      <c r="BA40" s="435"/>
      <c r="BB40" s="67"/>
    </row>
    <row r="41" spans="1:56" s="64" customFormat="1" ht="7.5" customHeight="1" x14ac:dyDescent="0.2">
      <c r="A41" s="422"/>
      <c r="B41" s="553"/>
      <c r="C41" s="555"/>
      <c r="D41" s="555"/>
      <c r="E41" s="555"/>
      <c r="F41" s="555"/>
      <c r="G41" s="557"/>
      <c r="H41" s="559"/>
      <c r="I41" s="557"/>
      <c r="J41" s="557"/>
      <c r="K41" s="557"/>
      <c r="L41" s="557"/>
      <c r="M41" s="557"/>
      <c r="N41" s="557"/>
      <c r="O41" s="559"/>
      <c r="P41" s="577"/>
      <c r="Q41" s="578"/>
      <c r="R41" s="430"/>
      <c r="S41" s="430"/>
      <c r="T41" s="467"/>
      <c r="U41" s="457"/>
      <c r="V41" s="425"/>
      <c r="W41" s="425"/>
      <c r="X41" s="66"/>
      <c r="Y41" s="67"/>
      <c r="Z41" s="424"/>
      <c r="AA41" s="425"/>
      <c r="AB41" s="484"/>
      <c r="AC41" s="441"/>
      <c r="AD41" s="440"/>
      <c r="AE41" s="440"/>
      <c r="AF41" s="465"/>
      <c r="AG41" s="65"/>
      <c r="AH41" s="444"/>
      <c r="AI41" s="445"/>
      <c r="AJ41" s="444"/>
      <c r="AK41" s="445"/>
      <c r="AL41" s="444"/>
      <c r="AM41" s="446"/>
      <c r="AN41" s="444"/>
      <c r="AO41" s="446"/>
      <c r="AP41" s="444"/>
      <c r="AQ41" s="446"/>
      <c r="AR41" s="444"/>
      <c r="AS41" s="445"/>
      <c r="AT41" s="66"/>
      <c r="AU41" s="65"/>
      <c r="AV41" s="66"/>
      <c r="AW41" s="434"/>
      <c r="AX41" s="434"/>
      <c r="AY41" s="434"/>
      <c r="AZ41" s="434"/>
      <c r="BA41" s="435"/>
      <c r="BB41" s="67"/>
    </row>
    <row r="42" spans="1:56" s="64" customFormat="1" ht="7.5" customHeight="1" x14ac:dyDescent="0.2">
      <c r="A42" s="422"/>
      <c r="B42" s="553"/>
      <c r="C42" s="555"/>
      <c r="D42" s="555"/>
      <c r="E42" s="555"/>
      <c r="F42" s="555"/>
      <c r="G42" s="557"/>
      <c r="H42" s="559"/>
      <c r="I42" s="557"/>
      <c r="J42" s="557"/>
      <c r="K42" s="557"/>
      <c r="L42" s="557"/>
      <c r="M42" s="557"/>
      <c r="N42" s="557"/>
      <c r="O42" s="559"/>
      <c r="P42" s="577"/>
      <c r="Q42" s="578"/>
      <c r="R42" s="430"/>
      <c r="S42" s="430"/>
      <c r="T42" s="467"/>
      <c r="U42" s="457"/>
      <c r="V42" s="425"/>
      <c r="W42" s="425"/>
      <c r="X42" s="66"/>
      <c r="Y42" s="67"/>
      <c r="Z42" s="424"/>
      <c r="AA42" s="425"/>
      <c r="AB42" s="484"/>
      <c r="AC42" s="441"/>
      <c r="AD42" s="440"/>
      <c r="AE42" s="440"/>
      <c r="AF42" s="465"/>
      <c r="AG42" s="65"/>
      <c r="AH42" s="444"/>
      <c r="AI42" s="445"/>
      <c r="AJ42" s="444"/>
      <c r="AK42" s="445"/>
      <c r="AL42" s="444"/>
      <c r="AM42" s="446"/>
      <c r="AN42" s="444"/>
      <c r="AO42" s="446"/>
      <c r="AP42" s="444"/>
      <c r="AQ42" s="446"/>
      <c r="AR42" s="444"/>
      <c r="AS42" s="445"/>
      <c r="AT42" s="66"/>
      <c r="AU42" s="65"/>
      <c r="AV42" s="66"/>
      <c r="AW42" s="434"/>
      <c r="AX42" s="434"/>
      <c r="AY42" s="434"/>
      <c r="AZ42" s="434"/>
      <c r="BA42" s="435"/>
      <c r="BB42" s="67"/>
    </row>
    <row r="43" spans="1:56" s="64" customFormat="1" ht="7.5" customHeight="1" x14ac:dyDescent="0.2">
      <c r="A43" s="422"/>
      <c r="B43" s="553"/>
      <c r="C43" s="555"/>
      <c r="D43" s="555"/>
      <c r="E43" s="555"/>
      <c r="F43" s="555"/>
      <c r="G43" s="557"/>
      <c r="H43" s="559"/>
      <c r="I43" s="557"/>
      <c r="J43" s="557"/>
      <c r="K43" s="557"/>
      <c r="L43" s="557"/>
      <c r="M43" s="557"/>
      <c r="N43" s="557"/>
      <c r="O43" s="559"/>
      <c r="P43" s="577"/>
      <c r="Q43" s="578"/>
      <c r="R43" s="430"/>
      <c r="S43" s="430"/>
      <c r="T43" s="467"/>
      <c r="U43" s="457"/>
      <c r="V43" s="425"/>
      <c r="W43" s="425"/>
      <c r="X43" s="66"/>
      <c r="Y43" s="67"/>
      <c r="Z43" s="424"/>
      <c r="AA43" s="425"/>
      <c r="AB43" s="484"/>
      <c r="AC43" s="441"/>
      <c r="AD43" s="440"/>
      <c r="AE43" s="440"/>
      <c r="AF43" s="465"/>
      <c r="AG43" s="65"/>
      <c r="AH43" s="444"/>
      <c r="AI43" s="445"/>
      <c r="AJ43" s="444"/>
      <c r="AK43" s="445"/>
      <c r="AL43" s="444"/>
      <c r="AM43" s="446"/>
      <c r="AN43" s="444"/>
      <c r="AO43" s="446"/>
      <c r="AP43" s="444"/>
      <c r="AQ43" s="446"/>
      <c r="AR43" s="444"/>
      <c r="AS43" s="445"/>
      <c r="AT43" s="66"/>
      <c r="AU43" s="65"/>
      <c r="AV43" s="66"/>
      <c r="AW43" s="434"/>
      <c r="AX43" s="434"/>
      <c r="AY43" s="434"/>
      <c r="AZ43" s="434"/>
      <c r="BA43" s="435"/>
      <c r="BB43" s="67"/>
    </row>
    <row r="44" spans="1:56" s="64" customFormat="1" ht="7.5" customHeight="1" x14ac:dyDescent="0.2">
      <c r="A44" s="422"/>
      <c r="B44" s="554"/>
      <c r="C44" s="556"/>
      <c r="D44" s="556"/>
      <c r="E44" s="556"/>
      <c r="F44" s="556"/>
      <c r="G44" s="557"/>
      <c r="H44" s="559"/>
      <c r="I44" s="557"/>
      <c r="J44" s="557"/>
      <c r="K44" s="557"/>
      <c r="L44" s="557"/>
      <c r="M44" s="557"/>
      <c r="N44" s="557"/>
      <c r="O44" s="559"/>
      <c r="P44" s="579"/>
      <c r="Q44" s="580"/>
      <c r="R44" s="430"/>
      <c r="S44" s="430"/>
      <c r="T44" s="467"/>
      <c r="U44" s="457"/>
      <c r="V44" s="425"/>
      <c r="W44" s="425"/>
      <c r="X44" s="66"/>
      <c r="Y44" s="67"/>
      <c r="Z44" s="424"/>
      <c r="AA44" s="425"/>
      <c r="AB44" s="484"/>
      <c r="AC44" s="442"/>
      <c r="AD44" s="443"/>
      <c r="AE44" s="443"/>
      <c r="AF44" s="466"/>
      <c r="AG44" s="65"/>
      <c r="AH44" s="444"/>
      <c r="AI44" s="445"/>
      <c r="AJ44" s="444"/>
      <c r="AK44" s="445"/>
      <c r="AL44" s="444"/>
      <c r="AM44" s="446"/>
      <c r="AN44" s="444"/>
      <c r="AO44" s="446"/>
      <c r="AP44" s="444"/>
      <c r="AQ44" s="446"/>
      <c r="AR44" s="444"/>
      <c r="AS44" s="445"/>
      <c r="AT44" s="66"/>
      <c r="AU44" s="65"/>
      <c r="AV44" s="66"/>
      <c r="AW44" s="434"/>
      <c r="AX44" s="434"/>
      <c r="AY44" s="434"/>
      <c r="AZ44" s="434"/>
      <c r="BA44" s="435"/>
      <c r="BB44" s="67"/>
    </row>
    <row r="45" spans="1:56" s="64" customFormat="1" ht="7.5" customHeight="1" x14ac:dyDescent="0.2">
      <c r="A45" s="416" t="s">
        <v>83</v>
      </c>
      <c r="B45" s="570" t="str">
        <f>IF('Header Info'!F42="","",'Header Info'!F42)</f>
        <v/>
      </c>
      <c r="C45" s="571" t="str">
        <f>IF('Header Info'!F41="","",'Header Info'!F41)</f>
        <v/>
      </c>
      <c r="D45" s="571" t="str">
        <f>IF('Header Info'!F40="","",'Header Info'!F40)</f>
        <v>1144.0 м</v>
      </c>
      <c r="E45" s="571" t="str">
        <f>IF('Header Info'!F39="","",'Header Info'!F39)</f>
        <v>452.7 м</v>
      </c>
      <c r="F45" s="572" t="str">
        <f>IF('Header Info'!F38="","",'Header Info'!F38)</f>
        <v>0.0 м</v>
      </c>
      <c r="G45" s="566" t="s">
        <v>41</v>
      </c>
      <c r="H45" s="559"/>
      <c r="I45" s="567" t="str">
        <f>IF('Header Info'!F31="","",'Header Info'!F31)</f>
        <v/>
      </c>
      <c r="J45" s="566" t="str">
        <f>IF('Header Info'!F30="","",'Header Info'!F30)</f>
        <v/>
      </c>
      <c r="K45" s="566" t="str">
        <f>IF('Header Info'!F29="","",'Header Info'!F29)</f>
        <v/>
      </c>
      <c r="L45" s="566" t="str">
        <f>IF('Header Info'!F28="","",'Header Info'!F28)</f>
        <v>0.0 м</v>
      </c>
      <c r="M45" s="566" t="str">
        <f>IF('Header Info'!F27="","",'Header Info'!F27)</f>
        <v>0.0 м</v>
      </c>
      <c r="N45" s="566" t="s">
        <v>41</v>
      </c>
      <c r="O45" s="559"/>
      <c r="P45" s="447" t="s">
        <v>84</v>
      </c>
      <c r="Q45" s="448"/>
      <c r="R45" s="448"/>
      <c r="S45" s="448"/>
      <c r="T45" s="448"/>
      <c r="U45" s="448"/>
      <c r="V45" s="448"/>
      <c r="W45" s="448"/>
      <c r="X45" s="448"/>
      <c r="Y45" s="449"/>
      <c r="Z45" s="424"/>
      <c r="AA45" s="425"/>
      <c r="AB45" s="484"/>
      <c r="AC45" s="95"/>
      <c r="AD45" s="85"/>
      <c r="AE45" s="83"/>
      <c r="AF45" s="86"/>
      <c r="AG45" s="65"/>
      <c r="AH45" s="444"/>
      <c r="AI45" s="445"/>
      <c r="AJ45" s="444"/>
      <c r="AK45" s="445"/>
      <c r="AL45" s="444"/>
      <c r="AM45" s="446"/>
      <c r="AN45" s="444"/>
      <c r="AO45" s="446"/>
      <c r="AP45" s="444"/>
      <c r="AQ45" s="446"/>
      <c r="AR45" s="444"/>
      <c r="AS45" s="445"/>
      <c r="AT45" s="66"/>
      <c r="AU45" s="65"/>
      <c r="AV45" s="66"/>
      <c r="AW45" s="434"/>
      <c r="AX45" s="434"/>
      <c r="AY45" s="434"/>
      <c r="AZ45" s="434"/>
      <c r="BA45" s="435"/>
      <c r="BB45" s="67"/>
    </row>
    <row r="46" spans="1:56" s="64" customFormat="1" ht="7.5" customHeight="1" x14ac:dyDescent="0.2">
      <c r="A46" s="416"/>
      <c r="B46" s="523"/>
      <c r="C46" s="519"/>
      <c r="D46" s="519"/>
      <c r="E46" s="519"/>
      <c r="F46" s="519"/>
      <c r="G46" s="566"/>
      <c r="H46" s="559"/>
      <c r="I46" s="568"/>
      <c r="J46" s="566"/>
      <c r="K46" s="566"/>
      <c r="L46" s="566"/>
      <c r="M46" s="566"/>
      <c r="N46" s="566"/>
      <c r="O46" s="559"/>
      <c r="P46" s="450"/>
      <c r="Q46" s="451"/>
      <c r="R46" s="451"/>
      <c r="S46" s="451"/>
      <c r="T46" s="451"/>
      <c r="U46" s="451"/>
      <c r="V46" s="451"/>
      <c r="W46" s="451"/>
      <c r="X46" s="451"/>
      <c r="Y46" s="452"/>
      <c r="Z46" s="424"/>
      <c r="AA46" s="425"/>
      <c r="AB46" s="484"/>
      <c r="AC46" s="453" t="s">
        <v>85</v>
      </c>
      <c r="AD46" s="425"/>
      <c r="AE46" s="425" t="s">
        <v>86</v>
      </c>
      <c r="AF46" s="454"/>
      <c r="AG46" s="65"/>
      <c r="AH46" s="444"/>
      <c r="AI46" s="445"/>
      <c r="AJ46" s="444"/>
      <c r="AK46" s="445"/>
      <c r="AL46" s="444"/>
      <c r="AM46" s="446"/>
      <c r="AN46" s="444"/>
      <c r="AO46" s="446"/>
      <c r="AP46" s="444"/>
      <c r="AQ46" s="446"/>
      <c r="AR46" s="444"/>
      <c r="AS46" s="445"/>
      <c r="AT46" s="66"/>
      <c r="AU46" s="65"/>
      <c r="AV46" s="66"/>
      <c r="AW46" s="434"/>
      <c r="AX46" s="434"/>
      <c r="AY46" s="434"/>
      <c r="AZ46" s="434"/>
      <c r="BA46" s="435"/>
      <c r="BB46" s="67"/>
      <c r="BC46" s="96"/>
      <c r="BD46" s="96"/>
    </row>
    <row r="47" spans="1:56" s="64" customFormat="1" ht="7.5" customHeight="1" x14ac:dyDescent="0.2">
      <c r="A47" s="416"/>
      <c r="B47" s="523"/>
      <c r="C47" s="519"/>
      <c r="D47" s="519"/>
      <c r="E47" s="519"/>
      <c r="F47" s="519"/>
      <c r="G47" s="566"/>
      <c r="H47" s="559"/>
      <c r="I47" s="568"/>
      <c r="J47" s="566"/>
      <c r="K47" s="566"/>
      <c r="L47" s="566"/>
      <c r="M47" s="566"/>
      <c r="N47" s="566"/>
      <c r="O47" s="559"/>
      <c r="P47" s="97"/>
      <c r="Q47" s="455" t="s">
        <v>87</v>
      </c>
      <c r="R47" s="455"/>
      <c r="S47" s="455" t="s">
        <v>88</v>
      </c>
      <c r="T47" s="455"/>
      <c r="U47" s="455" t="s">
        <v>89</v>
      </c>
      <c r="V47" s="455"/>
      <c r="W47" s="455" t="s">
        <v>90</v>
      </c>
      <c r="X47" s="456"/>
      <c r="Y47" s="86"/>
      <c r="Z47" s="424"/>
      <c r="AA47" s="425"/>
      <c r="AB47" s="484"/>
      <c r="AC47" s="453"/>
      <c r="AD47" s="425"/>
      <c r="AE47" s="425"/>
      <c r="AF47" s="454"/>
      <c r="AG47" s="65"/>
      <c r="AH47" s="444"/>
      <c r="AI47" s="445"/>
      <c r="AJ47" s="444"/>
      <c r="AK47" s="445"/>
      <c r="AL47" s="444"/>
      <c r="AM47" s="446"/>
      <c r="AN47" s="444"/>
      <c r="AO47" s="446"/>
      <c r="AP47" s="444"/>
      <c r="AQ47" s="446"/>
      <c r="AR47" s="444"/>
      <c r="AS47" s="445"/>
      <c r="AT47" s="66"/>
      <c r="AU47" s="65"/>
      <c r="AV47" s="66"/>
      <c r="AW47" s="434"/>
      <c r="AX47" s="434"/>
      <c r="AY47" s="434"/>
      <c r="AZ47" s="434"/>
      <c r="BA47" s="435"/>
      <c r="BB47" s="67"/>
      <c r="BC47" s="96"/>
      <c r="BD47" s="96"/>
    </row>
    <row r="48" spans="1:56" s="64" customFormat="1" ht="7.5" customHeight="1" x14ac:dyDescent="0.2">
      <c r="A48" s="416"/>
      <c r="B48" s="523"/>
      <c r="C48" s="519"/>
      <c r="D48" s="519"/>
      <c r="E48" s="519"/>
      <c r="F48" s="519"/>
      <c r="G48" s="566"/>
      <c r="H48" s="559"/>
      <c r="I48" s="568"/>
      <c r="J48" s="566"/>
      <c r="K48" s="566"/>
      <c r="L48" s="566"/>
      <c r="M48" s="566"/>
      <c r="N48" s="566"/>
      <c r="O48" s="559"/>
      <c r="P48" s="98"/>
      <c r="Q48" s="425"/>
      <c r="R48" s="425"/>
      <c r="S48" s="425"/>
      <c r="T48" s="425"/>
      <c r="U48" s="425"/>
      <c r="V48" s="425"/>
      <c r="W48" s="425"/>
      <c r="X48" s="454"/>
      <c r="Y48" s="99"/>
      <c r="Z48" s="424"/>
      <c r="AA48" s="425"/>
      <c r="AB48" s="484"/>
      <c r="AC48" s="453"/>
      <c r="AD48" s="425"/>
      <c r="AE48" s="425"/>
      <c r="AF48" s="454"/>
      <c r="AG48" s="65"/>
      <c r="AH48" s="444"/>
      <c r="AI48" s="445"/>
      <c r="AJ48" s="444"/>
      <c r="AK48" s="445"/>
      <c r="AL48" s="444"/>
      <c r="AM48" s="446"/>
      <c r="AN48" s="444"/>
      <c r="AO48" s="446"/>
      <c r="AP48" s="444"/>
      <c r="AQ48" s="446"/>
      <c r="AR48" s="444"/>
      <c r="AS48" s="445"/>
      <c r="AT48" s="66"/>
      <c r="AU48" s="65"/>
      <c r="AV48" s="66"/>
      <c r="AW48" s="434"/>
      <c r="AX48" s="434"/>
      <c r="AY48" s="434"/>
      <c r="AZ48" s="434"/>
      <c r="BA48" s="435"/>
      <c r="BB48" s="67"/>
      <c r="BC48" s="96"/>
      <c r="BD48" s="96"/>
    </row>
    <row r="49" spans="1:58" s="64" customFormat="1" ht="7.5" customHeight="1" x14ac:dyDescent="0.2">
      <c r="A49" s="416"/>
      <c r="B49" s="523"/>
      <c r="C49" s="519"/>
      <c r="D49" s="519"/>
      <c r="E49" s="519"/>
      <c r="F49" s="519"/>
      <c r="G49" s="566"/>
      <c r="H49" s="559"/>
      <c r="I49" s="568"/>
      <c r="J49" s="566"/>
      <c r="K49" s="566"/>
      <c r="L49" s="566"/>
      <c r="M49" s="566"/>
      <c r="N49" s="566"/>
      <c r="O49" s="559"/>
      <c r="P49" s="98"/>
      <c r="Q49" s="425"/>
      <c r="R49" s="425"/>
      <c r="S49" s="425"/>
      <c r="T49" s="425"/>
      <c r="U49" s="425"/>
      <c r="V49" s="425"/>
      <c r="W49" s="425"/>
      <c r="X49" s="454"/>
      <c r="Y49" s="99"/>
      <c r="Z49" s="424"/>
      <c r="AA49" s="425"/>
      <c r="AB49" s="484"/>
      <c r="AC49" s="453"/>
      <c r="AD49" s="425"/>
      <c r="AE49" s="425"/>
      <c r="AF49" s="454"/>
      <c r="AG49" s="65"/>
      <c r="AH49" s="444"/>
      <c r="AI49" s="445"/>
      <c r="AJ49" s="444"/>
      <c r="AK49" s="445"/>
      <c r="AL49" s="444"/>
      <c r="AM49" s="446"/>
      <c r="AN49" s="444"/>
      <c r="AO49" s="446"/>
      <c r="AP49" s="444"/>
      <c r="AQ49" s="446"/>
      <c r="AR49" s="444"/>
      <c r="AS49" s="445"/>
      <c r="AT49" s="66"/>
      <c r="AU49" s="65"/>
      <c r="AV49" s="66"/>
      <c r="AW49" s="434"/>
      <c r="AX49" s="434"/>
      <c r="AY49" s="434"/>
      <c r="AZ49" s="434"/>
      <c r="BA49" s="435"/>
      <c r="BB49" s="67"/>
      <c r="BC49" s="96"/>
      <c r="BD49" s="96"/>
    </row>
    <row r="50" spans="1:58" s="64" customFormat="1" ht="7.5" customHeight="1" x14ac:dyDescent="0.2">
      <c r="A50" s="416"/>
      <c r="B50" s="523"/>
      <c r="C50" s="519"/>
      <c r="D50" s="519"/>
      <c r="E50" s="519"/>
      <c r="F50" s="519"/>
      <c r="G50" s="566"/>
      <c r="H50" s="559"/>
      <c r="I50" s="568"/>
      <c r="J50" s="566"/>
      <c r="K50" s="566"/>
      <c r="L50" s="566"/>
      <c r="M50" s="566"/>
      <c r="N50" s="566"/>
      <c r="O50" s="559"/>
      <c r="P50" s="98"/>
      <c r="Q50" s="425"/>
      <c r="R50" s="425"/>
      <c r="S50" s="425"/>
      <c r="T50" s="425"/>
      <c r="U50" s="425"/>
      <c r="V50" s="425"/>
      <c r="W50" s="425"/>
      <c r="X50" s="454"/>
      <c r="Y50" s="99"/>
      <c r="Z50" s="424"/>
      <c r="AA50" s="425"/>
      <c r="AB50" s="484"/>
      <c r="AC50" s="453"/>
      <c r="AD50" s="425"/>
      <c r="AE50" s="425"/>
      <c r="AF50" s="454"/>
      <c r="AG50" s="65"/>
      <c r="AH50" s="444"/>
      <c r="AI50" s="445"/>
      <c r="AJ50" s="444"/>
      <c r="AK50" s="445"/>
      <c r="AL50" s="444"/>
      <c r="AM50" s="446"/>
      <c r="AN50" s="444"/>
      <c r="AO50" s="446"/>
      <c r="AP50" s="444"/>
      <c r="AQ50" s="446"/>
      <c r="AR50" s="444"/>
      <c r="AS50" s="445"/>
      <c r="AT50" s="66"/>
      <c r="AU50" s="65"/>
      <c r="AV50" s="66"/>
      <c r="AW50" s="434"/>
      <c r="AX50" s="434"/>
      <c r="AY50" s="434"/>
      <c r="AZ50" s="434"/>
      <c r="BA50" s="435"/>
      <c r="BB50" s="67"/>
      <c r="BC50" s="96"/>
      <c r="BD50" s="96"/>
      <c r="BF50" s="64" t="s">
        <v>91</v>
      </c>
    </row>
    <row r="51" spans="1:58" s="64" customFormat="1" ht="7.5" customHeight="1" x14ac:dyDescent="0.2">
      <c r="A51" s="416"/>
      <c r="B51" s="524"/>
      <c r="C51" s="520"/>
      <c r="D51" s="520"/>
      <c r="E51" s="520"/>
      <c r="F51" s="520"/>
      <c r="G51" s="566"/>
      <c r="H51" s="559"/>
      <c r="I51" s="569"/>
      <c r="J51" s="566"/>
      <c r="K51" s="566"/>
      <c r="L51" s="566"/>
      <c r="M51" s="566"/>
      <c r="N51" s="566"/>
      <c r="O51" s="559"/>
      <c r="P51" s="100"/>
      <c r="Q51" s="425"/>
      <c r="R51" s="425"/>
      <c r="S51" s="425"/>
      <c r="T51" s="425"/>
      <c r="U51" s="425"/>
      <c r="V51" s="425"/>
      <c r="W51" s="425"/>
      <c r="X51" s="454"/>
      <c r="Y51" s="99"/>
      <c r="Z51" s="424"/>
      <c r="AA51" s="425"/>
      <c r="AB51" s="484"/>
      <c r="AC51" s="453"/>
      <c r="AD51" s="425"/>
      <c r="AE51" s="425"/>
      <c r="AF51" s="454"/>
      <c r="AG51" s="65"/>
      <c r="AH51" s="444"/>
      <c r="AI51" s="445"/>
      <c r="AJ51" s="444"/>
      <c r="AK51" s="445"/>
      <c r="AL51" s="444"/>
      <c r="AM51" s="446"/>
      <c r="AN51" s="444"/>
      <c r="AO51" s="446"/>
      <c r="AP51" s="444"/>
      <c r="AQ51" s="446"/>
      <c r="AR51" s="444"/>
      <c r="AS51" s="445"/>
      <c r="AT51" s="66"/>
      <c r="AU51" s="65"/>
      <c r="AV51" s="66"/>
      <c r="AW51" s="434"/>
      <c r="AX51" s="434"/>
      <c r="AY51" s="434"/>
      <c r="AZ51" s="434"/>
      <c r="BA51" s="435"/>
      <c r="BB51" s="67"/>
      <c r="BC51" s="96"/>
      <c r="BD51" s="96"/>
    </row>
    <row r="52" spans="1:58" s="64" customFormat="1" ht="7.5" customHeight="1" x14ac:dyDescent="0.2">
      <c r="A52" s="416"/>
      <c r="B52" s="570" t="str">
        <f>IF('Header Info'!G42="","",'Header Info'!G42)</f>
        <v/>
      </c>
      <c r="C52" s="571" t="str">
        <f>IF('Header Info'!G41="","",'Header Info'!G41)</f>
        <v/>
      </c>
      <c r="D52" s="571" t="str">
        <f>IF('Header Info'!G40="","",'Header Info'!G40)</f>
        <v>2520.0 м</v>
      </c>
      <c r="E52" s="571" t="str">
        <f>IF('Header Info'!G39="","",'Header Info'!G39)</f>
        <v>1899.0 м</v>
      </c>
      <c r="F52" s="572" t="str">
        <f>IF('Header Info'!G38="","",'Header Info'!G38)</f>
        <v>452.7 м</v>
      </c>
      <c r="G52" s="566" t="s">
        <v>42</v>
      </c>
      <c r="H52" s="559"/>
      <c r="I52" s="567" t="str">
        <f>IF('Header Info'!G31="","",'Header Info'!G31)</f>
        <v/>
      </c>
      <c r="J52" s="566" t="str">
        <f>IF('Header Info'!G30="","",'Header Info'!G30)</f>
        <v/>
      </c>
      <c r="K52" s="566" t="str">
        <f>IF('Header Info'!G29="","",'Header Info'!G29)</f>
        <v/>
      </c>
      <c r="L52" s="566" t="str">
        <f>IF('Header Info'!G28="","",'Header Info'!G28)</f>
        <v>1140.3 м</v>
      </c>
      <c r="M52" s="566" t="str">
        <f>IF('Header Info'!G27="","",'Header Info'!G27)</f>
        <v>447.4 м</v>
      </c>
      <c r="N52" s="566" t="s">
        <v>42</v>
      </c>
      <c r="O52" s="559"/>
      <c r="P52" s="100"/>
      <c r="Q52" s="457" t="str">
        <f>'Header Info'!E19</f>
        <v>On Shore</v>
      </c>
      <c r="R52" s="457"/>
      <c r="S52" s="425" t="str">
        <f>'Header Info'!E18</f>
        <v>-</v>
      </c>
      <c r="T52" s="425"/>
      <c r="U52" s="425" t="str">
        <f>'Header Info'!E17</f>
        <v>44.21 м</v>
      </c>
      <c r="V52" s="425"/>
      <c r="W52" s="425" t="str">
        <f>'Header Info'!E16</f>
        <v>44.21 м</v>
      </c>
      <c r="X52" s="454"/>
      <c r="Y52" s="99"/>
      <c r="Z52" s="424"/>
      <c r="AA52" s="425"/>
      <c r="AB52" s="484"/>
      <c r="AC52" s="468" t="str">
        <f>'Header Info'!E7</f>
        <v>82.69°</v>
      </c>
      <c r="AD52" s="469"/>
      <c r="AE52" s="474" t="str">
        <f>'Header Info'!E6</f>
        <v>22.2°</v>
      </c>
      <c r="AF52" s="475"/>
      <c r="AG52" s="65"/>
      <c r="AH52" s="444"/>
      <c r="AI52" s="445"/>
      <c r="AJ52" s="444"/>
      <c r="AK52" s="445"/>
      <c r="AL52" s="444"/>
      <c r="AM52" s="446"/>
      <c r="AN52" s="444"/>
      <c r="AO52" s="446"/>
      <c r="AP52" s="444"/>
      <c r="AQ52" s="446"/>
      <c r="AR52" s="444"/>
      <c r="AS52" s="445"/>
      <c r="AT52" s="66"/>
      <c r="AU52" s="65"/>
      <c r="AV52" s="66"/>
      <c r="AW52" s="434"/>
      <c r="AX52" s="434"/>
      <c r="AY52" s="434"/>
      <c r="AZ52" s="434"/>
      <c r="BA52" s="435"/>
      <c r="BB52" s="67"/>
      <c r="BC52" s="96"/>
      <c r="BD52" s="96"/>
    </row>
    <row r="53" spans="1:58" s="64" customFormat="1" ht="7.5" customHeight="1" x14ac:dyDescent="0.2">
      <c r="A53" s="416"/>
      <c r="B53" s="523"/>
      <c r="C53" s="519"/>
      <c r="D53" s="519"/>
      <c r="E53" s="519"/>
      <c r="F53" s="519"/>
      <c r="G53" s="559"/>
      <c r="H53" s="559"/>
      <c r="I53" s="568"/>
      <c r="J53" s="559"/>
      <c r="K53" s="559"/>
      <c r="L53" s="559"/>
      <c r="M53" s="559"/>
      <c r="N53" s="559"/>
      <c r="O53" s="559"/>
      <c r="P53" s="100"/>
      <c r="Q53" s="457"/>
      <c r="R53" s="457"/>
      <c r="S53" s="425"/>
      <c r="T53" s="425"/>
      <c r="U53" s="425"/>
      <c r="V53" s="425"/>
      <c r="W53" s="425"/>
      <c r="X53" s="454"/>
      <c r="Y53" s="99"/>
      <c r="Z53" s="424"/>
      <c r="AA53" s="425"/>
      <c r="AB53" s="484"/>
      <c r="AC53" s="470"/>
      <c r="AD53" s="471"/>
      <c r="AE53" s="476"/>
      <c r="AF53" s="475"/>
      <c r="AG53" s="65"/>
      <c r="AH53" s="444"/>
      <c r="AI53" s="445"/>
      <c r="AJ53" s="444"/>
      <c r="AK53" s="445"/>
      <c r="AL53" s="444"/>
      <c r="AM53" s="446"/>
      <c r="AN53" s="444"/>
      <c r="AO53" s="446"/>
      <c r="AP53" s="444"/>
      <c r="AQ53" s="446"/>
      <c r="AR53" s="444"/>
      <c r="AS53" s="445"/>
      <c r="AT53" s="66"/>
      <c r="AU53" s="65"/>
      <c r="AV53" s="66"/>
      <c r="AW53" s="434"/>
      <c r="AX53" s="434"/>
      <c r="AY53" s="434"/>
      <c r="AZ53" s="434"/>
      <c r="BA53" s="435"/>
      <c r="BB53" s="67"/>
      <c r="BC53" s="96"/>
      <c r="BD53" s="96"/>
    </row>
    <row r="54" spans="1:58" s="64" customFormat="1" ht="7.5" customHeight="1" x14ac:dyDescent="0.2">
      <c r="A54" s="416"/>
      <c r="B54" s="523"/>
      <c r="C54" s="519"/>
      <c r="D54" s="519"/>
      <c r="E54" s="519"/>
      <c r="F54" s="519"/>
      <c r="G54" s="559"/>
      <c r="H54" s="559"/>
      <c r="I54" s="568"/>
      <c r="J54" s="559"/>
      <c r="K54" s="559"/>
      <c r="L54" s="559"/>
      <c r="M54" s="559"/>
      <c r="N54" s="559"/>
      <c r="O54" s="559"/>
      <c r="P54" s="100"/>
      <c r="Q54" s="457"/>
      <c r="R54" s="457"/>
      <c r="S54" s="425"/>
      <c r="T54" s="425"/>
      <c r="U54" s="425"/>
      <c r="V54" s="425"/>
      <c r="W54" s="425"/>
      <c r="X54" s="454"/>
      <c r="Y54" s="99"/>
      <c r="Z54" s="424"/>
      <c r="AA54" s="425"/>
      <c r="AB54" s="484"/>
      <c r="AC54" s="470"/>
      <c r="AD54" s="471"/>
      <c r="AE54" s="476"/>
      <c r="AF54" s="475"/>
      <c r="AG54" s="65"/>
      <c r="AH54" s="444"/>
      <c r="AI54" s="445"/>
      <c r="AJ54" s="444"/>
      <c r="AK54" s="445"/>
      <c r="AL54" s="444"/>
      <c r="AM54" s="446"/>
      <c r="AN54" s="444"/>
      <c r="AO54" s="446"/>
      <c r="AP54" s="444"/>
      <c r="AQ54" s="446"/>
      <c r="AR54" s="444"/>
      <c r="AS54" s="445"/>
      <c r="AT54" s="66"/>
      <c r="AU54" s="65"/>
      <c r="AV54" s="66"/>
      <c r="AW54" s="434"/>
      <c r="AX54" s="434"/>
      <c r="AY54" s="434"/>
      <c r="AZ54" s="434"/>
      <c r="BA54" s="435"/>
      <c r="BB54" s="67"/>
      <c r="BC54" s="96"/>
      <c r="BD54" s="96"/>
    </row>
    <row r="55" spans="1:58" s="64" customFormat="1" ht="7.5" customHeight="1" x14ac:dyDescent="0.2">
      <c r="A55" s="416"/>
      <c r="B55" s="523"/>
      <c r="C55" s="519"/>
      <c r="D55" s="519"/>
      <c r="E55" s="519"/>
      <c r="F55" s="519"/>
      <c r="G55" s="559"/>
      <c r="H55" s="559"/>
      <c r="I55" s="568"/>
      <c r="J55" s="559"/>
      <c r="K55" s="559"/>
      <c r="L55" s="559"/>
      <c r="M55" s="559"/>
      <c r="N55" s="559"/>
      <c r="O55" s="559"/>
      <c r="P55" s="100"/>
      <c r="Q55" s="457"/>
      <c r="R55" s="457"/>
      <c r="S55" s="425"/>
      <c r="T55" s="425"/>
      <c r="U55" s="425"/>
      <c r="V55" s="425"/>
      <c r="W55" s="425"/>
      <c r="X55" s="454"/>
      <c r="Y55" s="99"/>
      <c r="Z55" s="424"/>
      <c r="AA55" s="425"/>
      <c r="AB55" s="484"/>
      <c r="AC55" s="470"/>
      <c r="AD55" s="471"/>
      <c r="AE55" s="476"/>
      <c r="AF55" s="475"/>
      <c r="AG55" s="65"/>
      <c r="AH55" s="444"/>
      <c r="AI55" s="445"/>
      <c r="AJ55" s="444"/>
      <c r="AK55" s="445"/>
      <c r="AL55" s="444"/>
      <c r="AM55" s="446"/>
      <c r="AN55" s="444"/>
      <c r="AO55" s="446"/>
      <c r="AP55" s="444"/>
      <c r="AQ55" s="446"/>
      <c r="AR55" s="444"/>
      <c r="AS55" s="445"/>
      <c r="AT55" s="66"/>
      <c r="AU55" s="65"/>
      <c r="AV55" s="66"/>
      <c r="AW55" s="434"/>
      <c r="AX55" s="434"/>
      <c r="AY55" s="434"/>
      <c r="AZ55" s="434"/>
      <c r="BA55" s="435"/>
      <c r="BB55" s="67"/>
      <c r="BC55" s="96"/>
      <c r="BD55" s="96"/>
    </row>
    <row r="56" spans="1:58" s="64" customFormat="1" ht="7.5" customHeight="1" x14ac:dyDescent="0.2">
      <c r="A56" s="416"/>
      <c r="B56" s="523"/>
      <c r="C56" s="519"/>
      <c r="D56" s="519"/>
      <c r="E56" s="519"/>
      <c r="F56" s="519"/>
      <c r="G56" s="559"/>
      <c r="H56" s="559"/>
      <c r="I56" s="568"/>
      <c r="J56" s="559"/>
      <c r="K56" s="559"/>
      <c r="L56" s="559"/>
      <c r="M56" s="559"/>
      <c r="N56" s="559"/>
      <c r="O56" s="559"/>
      <c r="P56" s="100"/>
      <c r="Q56" s="457"/>
      <c r="R56" s="457"/>
      <c r="S56" s="425"/>
      <c r="T56" s="425"/>
      <c r="U56" s="425"/>
      <c r="V56" s="425"/>
      <c r="W56" s="425"/>
      <c r="X56" s="454"/>
      <c r="Y56" s="99"/>
      <c r="Z56" s="424"/>
      <c r="AA56" s="425"/>
      <c r="AB56" s="484"/>
      <c r="AC56" s="470"/>
      <c r="AD56" s="471"/>
      <c r="AE56" s="476"/>
      <c r="AF56" s="475"/>
      <c r="AG56" s="65"/>
      <c r="AH56" s="444"/>
      <c r="AI56" s="445"/>
      <c r="AJ56" s="444"/>
      <c r="AK56" s="445"/>
      <c r="AL56" s="444"/>
      <c r="AM56" s="446"/>
      <c r="AN56" s="444"/>
      <c r="AO56" s="446"/>
      <c r="AP56" s="444"/>
      <c r="AQ56" s="446"/>
      <c r="AR56" s="444"/>
      <c r="AS56" s="445"/>
      <c r="AT56" s="66"/>
      <c r="AU56" s="65"/>
      <c r="AV56" s="66"/>
      <c r="AW56" s="434"/>
      <c r="AX56" s="434"/>
      <c r="AY56" s="434"/>
      <c r="AZ56" s="434"/>
      <c r="BA56" s="435"/>
      <c r="BB56" s="67"/>
      <c r="BC56" s="96"/>
      <c r="BD56" s="96"/>
    </row>
    <row r="57" spans="1:58" s="64" customFormat="1" ht="7.5" customHeight="1" x14ac:dyDescent="0.2">
      <c r="A57" s="416"/>
      <c r="B57" s="523"/>
      <c r="C57" s="519"/>
      <c r="D57" s="519"/>
      <c r="E57" s="519"/>
      <c r="F57" s="519"/>
      <c r="G57" s="559"/>
      <c r="H57" s="559"/>
      <c r="I57" s="568"/>
      <c r="J57" s="559"/>
      <c r="K57" s="559"/>
      <c r="L57" s="559"/>
      <c r="M57" s="559"/>
      <c r="N57" s="559"/>
      <c r="O57" s="559"/>
      <c r="P57" s="100"/>
      <c r="Q57" s="457"/>
      <c r="R57" s="457"/>
      <c r="S57" s="425"/>
      <c r="T57" s="425"/>
      <c r="U57" s="425"/>
      <c r="V57" s="425"/>
      <c r="W57" s="425"/>
      <c r="X57" s="454"/>
      <c r="Y57" s="99"/>
      <c r="Z57" s="424"/>
      <c r="AA57" s="425"/>
      <c r="AB57" s="484"/>
      <c r="AC57" s="470"/>
      <c r="AD57" s="471"/>
      <c r="AE57" s="476"/>
      <c r="AF57" s="475"/>
      <c r="AG57" s="101"/>
      <c r="AH57" s="444"/>
      <c r="AI57" s="445"/>
      <c r="AJ57" s="444"/>
      <c r="AK57" s="445"/>
      <c r="AL57" s="444"/>
      <c r="AM57" s="446"/>
      <c r="AN57" s="444"/>
      <c r="AO57" s="446"/>
      <c r="AP57" s="444"/>
      <c r="AQ57" s="446"/>
      <c r="AR57" s="444"/>
      <c r="AS57" s="445"/>
      <c r="AT57" s="66"/>
      <c r="AU57" s="65"/>
      <c r="AV57" s="66"/>
      <c r="AW57" s="434"/>
      <c r="AX57" s="434"/>
      <c r="AY57" s="434"/>
      <c r="AZ57" s="434"/>
      <c r="BA57" s="435"/>
      <c r="BB57" s="67"/>
      <c r="BC57" s="96"/>
      <c r="BD57" s="96"/>
    </row>
    <row r="58" spans="1:58" s="64" customFormat="1" ht="7.5" customHeight="1" thickBot="1" x14ac:dyDescent="0.35">
      <c r="A58" s="417"/>
      <c r="B58" s="573"/>
      <c r="C58" s="574"/>
      <c r="D58" s="574"/>
      <c r="E58" s="574"/>
      <c r="F58" s="574"/>
      <c r="G58" s="562"/>
      <c r="H58" s="562"/>
      <c r="I58" s="575"/>
      <c r="J58" s="562"/>
      <c r="K58" s="562"/>
      <c r="L58" s="562"/>
      <c r="M58" s="562"/>
      <c r="N58" s="562"/>
      <c r="O58" s="562"/>
      <c r="P58" s="73"/>
      <c r="Q58" s="458"/>
      <c r="R58" s="458"/>
      <c r="S58" s="459"/>
      <c r="T58" s="459"/>
      <c r="U58" s="459"/>
      <c r="V58" s="459"/>
      <c r="W58" s="459"/>
      <c r="X58" s="460"/>
      <c r="Y58" s="102"/>
      <c r="Z58" s="546"/>
      <c r="AA58" s="459"/>
      <c r="AB58" s="547"/>
      <c r="AC58" s="472"/>
      <c r="AD58" s="473"/>
      <c r="AE58" s="477"/>
      <c r="AF58" s="478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73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5" width="1.42578125" style="115" customWidth="1"/>
    <col min="6" max="16384" width="9.140625" style="115"/>
  </cols>
  <sheetData>
    <row r="1" spans="1:8" x14ac:dyDescent="0.2">
      <c r="A1" s="112"/>
      <c r="B1" s="113"/>
      <c r="C1" s="113"/>
      <c r="D1" s="113"/>
      <c r="E1" s="114"/>
    </row>
    <row r="2" spans="1:8" s="121" customFormat="1" ht="18" x14ac:dyDescent="0.25">
      <c r="A2" s="116"/>
      <c r="B2" s="117" t="s">
        <v>97</v>
      </c>
      <c r="C2" s="118"/>
      <c r="D2" s="119" t="str">
        <f>'Header Info'!B2</f>
        <v>АО "Мессояханефтегаз"</v>
      </c>
      <c r="E2" s="120"/>
    </row>
    <row r="3" spans="1:8" s="121" customFormat="1" ht="18" x14ac:dyDescent="0.25">
      <c r="A3" s="116"/>
      <c r="B3" s="122" t="s">
        <v>98</v>
      </c>
      <c r="C3" s="123"/>
      <c r="D3" s="124" t="str">
        <f>'Header Info'!B3</f>
        <v>4828st03#74 Горизонтальный ствол3</v>
      </c>
      <c r="E3" s="125"/>
    </row>
    <row r="4" spans="1:8" s="121" customFormat="1" ht="18" x14ac:dyDescent="0.25">
      <c r="A4" s="116"/>
      <c r="B4" s="126" t="s">
        <v>99</v>
      </c>
      <c r="C4" s="123"/>
      <c r="D4" s="124" t="str">
        <f>'Header Info'!B5</f>
        <v>Восточно-Мессояхское</v>
      </c>
      <c r="E4" s="125"/>
    </row>
    <row r="5" spans="1:8" s="121" customFormat="1" ht="18" x14ac:dyDescent="0.25">
      <c r="A5" s="116"/>
      <c r="B5" s="122" t="s">
        <v>100</v>
      </c>
      <c r="C5" s="123"/>
      <c r="D5" s="124" t="str">
        <f>'Header Info'!B6</f>
        <v>БУ-3200</v>
      </c>
      <c r="E5" s="127"/>
    </row>
    <row r="6" spans="1:8" s="121" customFormat="1" ht="15.75" x14ac:dyDescent="0.25">
      <c r="A6" s="128" t="str">
        <f>'1. Header Image'!AW23</f>
        <v>Финальный лог данных из памяти</v>
      </c>
      <c r="B6" s="122" t="s">
        <v>101</v>
      </c>
      <c r="C6" s="129"/>
      <c r="D6" s="130" t="str">
        <f>'Header Info'!B7</f>
        <v>Россия</v>
      </c>
      <c r="E6" s="127"/>
    </row>
    <row r="7" spans="1:8" s="121" customFormat="1" ht="15" x14ac:dyDescent="0.2">
      <c r="A7" s="128" t="str">
        <f>'1. Header (MD) Image'!AX23</f>
        <v>1:200 MD Image</v>
      </c>
      <c r="B7" s="131"/>
      <c r="C7" s="131"/>
      <c r="D7" s="131"/>
      <c r="E7" s="127"/>
    </row>
    <row r="8" spans="1:8" customFormat="1" x14ac:dyDescent="0.2">
      <c r="A8" s="132"/>
      <c r="B8" s="133"/>
      <c r="C8" s="134"/>
      <c r="D8" s="134"/>
      <c r="E8" s="135"/>
      <c r="F8" s="115"/>
      <c r="G8" s="115"/>
      <c r="H8" s="115"/>
    </row>
    <row r="9" spans="1:8" x14ac:dyDescent="0.2">
      <c r="A9" s="136"/>
      <c r="B9" s="136"/>
      <c r="C9" s="136"/>
      <c r="D9" s="136"/>
      <c r="E9" s="136"/>
    </row>
    <row r="10" spans="1:8" x14ac:dyDescent="0.2">
      <c r="A10" s="136"/>
      <c r="B10" s="136"/>
      <c r="C10" s="136"/>
      <c r="D10" s="136"/>
      <c r="E10" s="136"/>
    </row>
    <row r="11" spans="1:8" x14ac:dyDescent="0.2">
      <c r="A11" s="136"/>
      <c r="B11" s="136"/>
      <c r="C11" s="136"/>
      <c r="D11" s="136"/>
      <c r="E11" s="136"/>
    </row>
    <row r="12" spans="1:8" x14ac:dyDescent="0.2">
      <c r="A12" s="136"/>
      <c r="B12" s="136"/>
      <c r="C12" s="136"/>
      <c r="D12" s="136"/>
      <c r="E12" s="136"/>
    </row>
    <row r="13" spans="1:8" x14ac:dyDescent="0.2">
      <c r="A13" s="136"/>
      <c r="B13" s="136"/>
      <c r="C13" s="136"/>
      <c r="D13" s="136"/>
      <c r="E13" s="136"/>
    </row>
    <row r="14" spans="1:8" x14ac:dyDescent="0.2">
      <c r="A14" s="136"/>
      <c r="B14" s="136"/>
      <c r="C14" s="136"/>
      <c r="D14" s="136"/>
      <c r="E14" s="136"/>
    </row>
    <row r="15" spans="1:8" x14ac:dyDescent="0.2">
      <c r="A15" s="136"/>
      <c r="B15" s="136"/>
      <c r="C15" s="136"/>
      <c r="D15" s="136"/>
      <c r="E15" s="136"/>
    </row>
    <row r="16" spans="1:8" x14ac:dyDescent="0.2">
      <c r="A16" s="136"/>
      <c r="B16" s="136"/>
      <c r="C16" s="136"/>
      <c r="D16" s="136"/>
      <c r="E16" s="136"/>
    </row>
    <row r="17" spans="1:5" x14ac:dyDescent="0.2">
      <c r="A17" s="136"/>
      <c r="B17" s="136"/>
      <c r="C17" s="136"/>
      <c r="D17" s="136"/>
      <c r="E17" s="136"/>
    </row>
    <row r="18" spans="1:5" x14ac:dyDescent="0.2">
      <c r="A18" s="136"/>
      <c r="B18" s="136"/>
      <c r="C18" s="136"/>
      <c r="D18" s="136"/>
      <c r="E18" s="136"/>
    </row>
    <row r="19" spans="1:5" x14ac:dyDescent="0.2">
      <c r="A19" s="136"/>
      <c r="B19" s="136"/>
      <c r="C19" s="136"/>
      <c r="D19" s="136"/>
      <c r="E19" s="136"/>
    </row>
    <row r="20" spans="1:5" x14ac:dyDescent="0.2">
      <c r="A20" s="136"/>
      <c r="B20" s="136"/>
      <c r="C20" s="136"/>
      <c r="D20" s="136"/>
      <c r="E20" s="136"/>
    </row>
    <row r="21" spans="1:5" x14ac:dyDescent="0.2">
      <c r="A21" s="136"/>
      <c r="B21" s="136"/>
      <c r="C21" s="136"/>
      <c r="D21" s="136"/>
      <c r="E21" s="136"/>
    </row>
    <row r="22" spans="1:5" x14ac:dyDescent="0.2">
      <c r="A22" s="136"/>
      <c r="B22" s="136"/>
      <c r="C22" s="136"/>
      <c r="D22" s="136"/>
      <c r="E22" s="136"/>
    </row>
    <row r="23" spans="1:5" x14ac:dyDescent="0.2">
      <c r="A23" s="136"/>
      <c r="B23" s="136"/>
      <c r="C23" s="136"/>
      <c r="D23" s="136"/>
      <c r="E23" s="136"/>
    </row>
    <row r="24" spans="1:5" x14ac:dyDescent="0.2">
      <c r="A24" s="136"/>
      <c r="B24" s="136"/>
      <c r="C24" s="136"/>
      <c r="D24" s="136"/>
      <c r="E24" s="136"/>
    </row>
    <row r="25" spans="1:5" x14ac:dyDescent="0.2">
      <c r="A25" s="136"/>
      <c r="B25" s="136"/>
      <c r="C25" s="136"/>
      <c r="D25" s="136"/>
      <c r="E25" s="136"/>
    </row>
    <row r="26" spans="1:5" x14ac:dyDescent="0.2">
      <c r="A26" s="136"/>
      <c r="B26" s="136"/>
      <c r="C26" s="136"/>
      <c r="D26" s="136"/>
      <c r="E26" s="136"/>
    </row>
    <row r="27" spans="1:5" x14ac:dyDescent="0.2">
      <c r="A27" s="136"/>
      <c r="B27" s="136"/>
      <c r="C27" s="136"/>
      <c r="D27" s="136"/>
      <c r="E27" s="136"/>
    </row>
    <row r="28" spans="1:5" x14ac:dyDescent="0.2">
      <c r="A28" s="136"/>
      <c r="B28" s="136"/>
      <c r="C28" s="136"/>
      <c r="D28" s="136"/>
      <c r="E28" s="136"/>
    </row>
    <row r="29" spans="1:5" x14ac:dyDescent="0.2">
      <c r="A29" s="136"/>
      <c r="B29" s="136"/>
      <c r="C29" s="136"/>
      <c r="D29" s="136"/>
      <c r="E29" s="136"/>
    </row>
    <row r="30" spans="1:5" x14ac:dyDescent="0.2">
      <c r="A30" s="136"/>
      <c r="B30" s="136"/>
      <c r="C30" s="136"/>
      <c r="D30" s="136"/>
      <c r="E30" s="136"/>
    </row>
    <row r="31" spans="1:5" x14ac:dyDescent="0.2">
      <c r="A31" s="136"/>
      <c r="B31" s="136"/>
      <c r="C31" s="136"/>
      <c r="D31" s="136"/>
      <c r="E31" s="136"/>
    </row>
    <row r="32" spans="1:5" x14ac:dyDescent="0.2">
      <c r="A32" s="136"/>
      <c r="B32" s="136"/>
      <c r="C32" s="136"/>
      <c r="D32" s="136"/>
      <c r="E32" s="136"/>
    </row>
    <row r="33" spans="1:5" x14ac:dyDescent="0.2">
      <c r="A33" s="136"/>
      <c r="B33" s="136"/>
      <c r="C33" s="136"/>
      <c r="D33" s="136"/>
      <c r="E33" s="136"/>
    </row>
    <row r="34" spans="1:5" x14ac:dyDescent="0.2">
      <c r="A34" s="136"/>
      <c r="B34" s="136"/>
      <c r="C34" s="136"/>
      <c r="D34" s="136"/>
      <c r="E34" s="136"/>
    </row>
    <row r="35" spans="1:5" x14ac:dyDescent="0.2">
      <c r="A35" s="136"/>
      <c r="B35" s="136"/>
      <c r="C35" s="136"/>
      <c r="D35" s="136"/>
      <c r="E35" s="136"/>
    </row>
    <row r="36" spans="1:5" x14ac:dyDescent="0.2">
      <c r="A36" s="136"/>
      <c r="B36" s="136"/>
      <c r="C36" s="136"/>
      <c r="D36" s="136"/>
      <c r="E36" s="136"/>
    </row>
    <row r="37" spans="1:5" x14ac:dyDescent="0.2">
      <c r="A37" s="136"/>
      <c r="B37" s="136"/>
      <c r="C37" s="136"/>
      <c r="D37" s="136"/>
      <c r="E37" s="136"/>
    </row>
    <row r="38" spans="1:5" x14ac:dyDescent="0.2">
      <c r="A38" s="136"/>
      <c r="B38" s="136"/>
      <c r="C38" s="136"/>
      <c r="D38" s="136"/>
      <c r="E38" s="136"/>
    </row>
    <row r="39" spans="1:5" x14ac:dyDescent="0.2">
      <c r="A39" s="136"/>
      <c r="B39" s="136"/>
      <c r="C39" s="136"/>
      <c r="D39" s="136"/>
      <c r="E39" s="136"/>
    </row>
    <row r="40" spans="1:5" x14ac:dyDescent="0.2">
      <c r="A40" s="136"/>
      <c r="B40" s="136"/>
      <c r="C40" s="136"/>
      <c r="D40" s="136"/>
      <c r="E40" s="136"/>
    </row>
    <row r="41" spans="1:5" x14ac:dyDescent="0.2">
      <c r="A41" s="136"/>
      <c r="B41" s="136"/>
      <c r="C41" s="136"/>
      <c r="D41" s="136"/>
      <c r="E41" s="136"/>
    </row>
    <row r="42" spans="1:5" x14ac:dyDescent="0.2">
      <c r="A42" s="136"/>
      <c r="B42" s="136"/>
      <c r="C42" s="136"/>
      <c r="D42" s="136"/>
      <c r="E42" s="136"/>
    </row>
    <row r="43" spans="1:5" x14ac:dyDescent="0.2">
      <c r="A43" s="136"/>
      <c r="B43" s="136"/>
      <c r="C43" s="136"/>
      <c r="D43" s="136"/>
      <c r="E43" s="136"/>
    </row>
    <row r="44" spans="1:5" x14ac:dyDescent="0.2">
      <c r="A44" s="136"/>
      <c r="B44" s="136"/>
      <c r="C44" s="136"/>
      <c r="D44" s="136"/>
      <c r="E44" s="136"/>
    </row>
    <row r="45" spans="1:5" x14ac:dyDescent="0.2">
      <c r="A45" s="136"/>
      <c r="B45" s="136"/>
      <c r="C45" s="136"/>
      <c r="D45" s="136"/>
      <c r="E45" s="136"/>
    </row>
    <row r="46" spans="1:5" x14ac:dyDescent="0.2">
      <c r="A46" s="136"/>
      <c r="B46" s="136"/>
      <c r="C46" s="136"/>
      <c r="D46" s="136"/>
      <c r="E46" s="136"/>
    </row>
    <row r="47" spans="1:5" x14ac:dyDescent="0.2">
      <c r="A47" s="136"/>
      <c r="B47" s="136"/>
      <c r="C47" s="136"/>
      <c r="D47" s="136"/>
      <c r="E47" s="136"/>
    </row>
    <row r="48" spans="1:5" x14ac:dyDescent="0.2">
      <c r="A48" s="136"/>
      <c r="B48" s="136"/>
      <c r="C48" s="136"/>
      <c r="D48" s="136"/>
      <c r="E48" s="136"/>
    </row>
    <row r="49" spans="1:5" x14ac:dyDescent="0.2">
      <c r="A49" s="136"/>
      <c r="B49" s="136"/>
      <c r="C49" s="136"/>
      <c r="D49" s="136"/>
      <c r="E49" s="136"/>
    </row>
    <row r="50" spans="1:5" x14ac:dyDescent="0.2">
      <c r="A50" s="136"/>
      <c r="B50" s="136"/>
      <c r="C50" s="136"/>
      <c r="D50" s="136"/>
      <c r="E50" s="136"/>
    </row>
    <row r="51" spans="1:5" x14ac:dyDescent="0.2">
      <c r="A51" s="136"/>
      <c r="B51" s="136"/>
      <c r="C51" s="136"/>
      <c r="D51" s="136"/>
      <c r="E51" s="136"/>
    </row>
    <row r="52" spans="1:5" x14ac:dyDescent="0.2">
      <c r="A52" s="136"/>
      <c r="B52" s="136"/>
      <c r="C52" s="136"/>
      <c r="D52" s="136"/>
      <c r="E52" s="136"/>
    </row>
    <row r="53" spans="1:5" x14ac:dyDescent="0.2">
      <c r="A53" s="136"/>
      <c r="B53" s="136"/>
      <c r="C53" s="136"/>
      <c r="D53" s="136"/>
      <c r="E53" s="136"/>
    </row>
    <row r="54" spans="1:5" x14ac:dyDescent="0.2">
      <c r="A54" s="136"/>
      <c r="B54" s="136"/>
      <c r="C54" s="136"/>
      <c r="D54" s="136"/>
      <c r="E54" s="136"/>
    </row>
    <row r="55" spans="1:5" x14ac:dyDescent="0.2">
      <c r="A55" s="136"/>
      <c r="B55" s="136"/>
      <c r="C55" s="136"/>
      <c r="D55" s="136"/>
      <c r="E55" s="136"/>
    </row>
    <row r="56" spans="1:5" x14ac:dyDescent="0.2">
      <c r="A56" s="136"/>
      <c r="B56" s="136"/>
      <c r="C56" s="136"/>
      <c r="D56" s="136"/>
      <c r="E56" s="136"/>
    </row>
    <row r="57" spans="1:5" x14ac:dyDescent="0.2">
      <c r="A57" s="136"/>
      <c r="B57" s="136"/>
      <c r="C57" s="136"/>
      <c r="D57" s="136"/>
      <c r="E57" s="136"/>
    </row>
    <row r="58" spans="1:5" x14ac:dyDescent="0.2">
      <c r="A58" s="136"/>
      <c r="B58" s="136"/>
      <c r="C58" s="136"/>
      <c r="D58" s="136"/>
      <c r="E58" s="136"/>
    </row>
    <row r="59" spans="1:5" x14ac:dyDescent="0.2">
      <c r="A59" s="136"/>
      <c r="B59" s="136"/>
      <c r="C59" s="136"/>
      <c r="D59" s="136"/>
      <c r="E59" s="136"/>
    </row>
    <row r="60" spans="1:5" x14ac:dyDescent="0.2">
      <c r="A60" s="136"/>
      <c r="B60" s="137" t="s">
        <v>91</v>
      </c>
      <c r="C60" s="136"/>
      <c r="D60" s="136"/>
      <c r="E60" s="136"/>
    </row>
    <row r="61" spans="1:5" x14ac:dyDescent="0.2">
      <c r="A61" s="136"/>
      <c r="B61" s="136"/>
      <c r="C61" s="136"/>
      <c r="D61" s="136"/>
      <c r="E61" s="136"/>
    </row>
    <row r="62" spans="1:5" x14ac:dyDescent="0.2">
      <c r="A62" s="136"/>
      <c r="B62" s="136"/>
      <c r="C62" s="136"/>
      <c r="D62" s="136"/>
      <c r="E62" s="136"/>
    </row>
    <row r="63" spans="1:5" x14ac:dyDescent="0.2">
      <c r="A63" s="136"/>
      <c r="B63" s="136"/>
      <c r="C63" s="136"/>
      <c r="D63" s="136"/>
      <c r="E63" s="136"/>
    </row>
    <row r="64" spans="1:5" x14ac:dyDescent="0.2">
      <c r="A64" s="136"/>
      <c r="B64" s="136"/>
      <c r="C64" s="136"/>
      <c r="D64" s="136"/>
      <c r="E64" s="136"/>
    </row>
    <row r="65" spans="1:5" x14ac:dyDescent="0.2">
      <c r="A65" s="136"/>
      <c r="B65" s="136"/>
      <c r="C65" s="136"/>
      <c r="D65" s="136"/>
      <c r="E65" s="136"/>
    </row>
    <row r="66" spans="1:5" x14ac:dyDescent="0.2">
      <c r="A66" s="136"/>
      <c r="B66" s="136"/>
      <c r="C66" s="136"/>
      <c r="D66" s="136"/>
      <c r="E66" s="136"/>
    </row>
    <row r="67" spans="1:5" x14ac:dyDescent="0.2">
      <c r="A67" s="136"/>
      <c r="B67" s="136"/>
      <c r="C67" s="136"/>
      <c r="D67" s="136"/>
      <c r="E67" s="136"/>
    </row>
    <row r="68" spans="1:5" x14ac:dyDescent="0.2">
      <c r="A68" s="136"/>
      <c r="B68" s="136"/>
      <c r="C68" s="136"/>
      <c r="D68" s="136"/>
      <c r="E68" s="136"/>
    </row>
    <row r="69" spans="1:5" x14ac:dyDescent="0.2">
      <c r="A69" s="136"/>
      <c r="B69" s="136"/>
      <c r="C69" s="136"/>
      <c r="D69" s="136"/>
      <c r="E69" s="136"/>
    </row>
    <row r="70" spans="1:5" x14ac:dyDescent="0.2">
      <c r="A70" s="136"/>
      <c r="B70" s="136"/>
      <c r="C70" s="136"/>
      <c r="D70" s="136"/>
      <c r="E70" s="136"/>
    </row>
    <row r="71" spans="1:5" x14ac:dyDescent="0.2">
      <c r="A71" s="136"/>
      <c r="B71" s="136"/>
      <c r="C71" s="136"/>
      <c r="D71" s="136"/>
      <c r="E71" s="136"/>
    </row>
    <row r="72" spans="1:5" x14ac:dyDescent="0.2">
      <c r="A72" s="136"/>
      <c r="B72" s="136"/>
      <c r="C72" s="136"/>
      <c r="D72" s="136"/>
      <c r="E72" s="136"/>
    </row>
    <row r="73" spans="1:5" x14ac:dyDescent="0.2">
      <c r="A73" s="136"/>
      <c r="B73" s="136"/>
      <c r="C73" s="136"/>
      <c r="D73" s="136"/>
      <c r="E73" s="136"/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105" bestFit="1" customWidth="1"/>
    <col min="2" max="16384" width="9.140625" style="105"/>
  </cols>
  <sheetData>
    <row r="1" spans="1:3" s="139" customFormat="1" ht="8.25" x14ac:dyDescent="0.15">
      <c r="A1" s="138"/>
    </row>
    <row r="2" spans="1:3" s="66" customFormat="1" ht="12.75" customHeight="1" x14ac:dyDescent="0.2">
      <c r="A2" s="140" t="s">
        <v>102</v>
      </c>
    </row>
    <row r="3" spans="1:3" s="66" customFormat="1" ht="12.75" customHeight="1" x14ac:dyDescent="0.2">
      <c r="A3" s="140" t="s">
        <v>103</v>
      </c>
    </row>
    <row r="4" spans="1:3" s="66" customFormat="1" ht="12.75" customHeight="1" x14ac:dyDescent="0.2">
      <c r="A4" s="140" t="s">
        <v>104</v>
      </c>
    </row>
    <row r="5" spans="1:3" s="66" customFormat="1" ht="12.75" customHeight="1" x14ac:dyDescent="0.2">
      <c r="A5" s="140" t="s">
        <v>105</v>
      </c>
    </row>
    <row r="6" spans="1:3" s="66" customFormat="1" ht="12.75" customHeight="1" x14ac:dyDescent="0.2">
      <c r="A6" s="140" t="s">
        <v>106</v>
      </c>
    </row>
    <row r="7" spans="1:3" ht="12.75" customHeight="1" x14ac:dyDescent="0.2">
      <c r="A7" s="140" t="s">
        <v>107</v>
      </c>
      <c r="B7" s="141"/>
      <c r="C7" s="141"/>
    </row>
    <row r="8" spans="1:3" s="66" customFormat="1" ht="12.75" customHeight="1" x14ac:dyDescent="0.2">
      <c r="A8" s="140" t="s">
        <v>108</v>
      </c>
    </row>
    <row r="9" spans="1:3" s="66" customFormat="1" ht="12.75" customHeight="1" x14ac:dyDescent="0.2">
      <c r="A9" s="140" t="s">
        <v>109</v>
      </c>
    </row>
    <row r="10" spans="1:3" s="66" customFormat="1" ht="12.75" customHeight="1" x14ac:dyDescent="0.2">
      <c r="A10" s="140" t="s">
        <v>110</v>
      </c>
    </row>
    <row r="11" spans="1:3" s="66" customFormat="1" ht="12.75" customHeight="1" x14ac:dyDescent="0.2">
      <c r="A11" s="140" t="s">
        <v>111</v>
      </c>
    </row>
    <row r="12" spans="1:3" s="66" customFormat="1" ht="12.75" customHeight="1" x14ac:dyDescent="0.2">
      <c r="A12" s="142" t="s">
        <v>112</v>
      </c>
    </row>
    <row r="13" spans="1:3" s="66" customFormat="1" ht="12.75" customHeight="1" x14ac:dyDescent="0.2">
      <c r="A13" s="142" t="s">
        <v>113</v>
      </c>
    </row>
    <row r="14" spans="1:3" ht="12.75" customHeight="1" x14ac:dyDescent="0.2">
      <c r="A14" s="143" t="s">
        <v>114</v>
      </c>
    </row>
    <row r="15" spans="1:3" ht="12.75" customHeight="1" x14ac:dyDescent="0.2">
      <c r="A15" s="144" t="s">
        <v>115</v>
      </c>
    </row>
    <row r="16" spans="1:3" ht="12.75" x14ac:dyDescent="0.2">
      <c r="A16" s="145" t="s">
        <v>116</v>
      </c>
    </row>
    <row r="17" spans="1:1" s="147" customFormat="1" ht="9" thickBot="1" x14ac:dyDescent="0.2">
      <c r="A17" s="146"/>
    </row>
    <row r="18" spans="1:1" ht="7.5" customHeight="1" x14ac:dyDescent="0.2">
      <c r="A18" s="148"/>
    </row>
    <row r="19" spans="1:1" ht="7.5" customHeight="1" x14ac:dyDescent="0.2">
      <c r="A19" s="148"/>
    </row>
    <row r="20" spans="1:1" ht="7.5" customHeight="1" x14ac:dyDescent="0.2">
      <c r="A20" s="148"/>
    </row>
    <row r="21" spans="1:1" ht="7.5" customHeight="1" x14ac:dyDescent="0.2">
      <c r="A21" s="148"/>
    </row>
    <row r="22" spans="1:1" ht="7.5" customHeight="1" x14ac:dyDescent="0.2">
      <c r="A22" s="148"/>
    </row>
    <row r="23" spans="1:1" ht="7.5" customHeight="1" x14ac:dyDescent="0.2">
      <c r="A23" s="148"/>
    </row>
    <row r="24" spans="1:1" ht="7.5" customHeight="1" x14ac:dyDescent="0.2">
      <c r="A24" s="148"/>
    </row>
    <row r="25" spans="1:1" ht="7.5" customHeight="1" x14ac:dyDescent="0.2">
      <c r="A25" s="149"/>
    </row>
    <row r="26" spans="1:1" ht="7.5" customHeight="1" x14ac:dyDescent="0.2">
      <c r="A26" s="149"/>
    </row>
    <row r="27" spans="1:1" ht="7.5" customHeight="1" x14ac:dyDescent="0.2">
      <c r="A27" s="150"/>
    </row>
    <row r="28" spans="1:1" ht="7.5" customHeight="1" x14ac:dyDescent="0.2">
      <c r="A28" s="151"/>
    </row>
    <row r="29" spans="1:1" ht="7.5" customHeight="1" x14ac:dyDescent="0.2">
      <c r="A29" s="151"/>
    </row>
    <row r="30" spans="1:1" ht="7.5" customHeight="1" x14ac:dyDescent="0.2">
      <c r="A30" s="151"/>
    </row>
    <row r="31" spans="1:1" ht="7.5" customHeight="1" x14ac:dyDescent="0.2">
      <c r="A31" s="151"/>
    </row>
    <row r="32" spans="1:1" ht="7.5" customHeight="1" x14ac:dyDescent="0.2">
      <c r="A32" s="151"/>
    </row>
    <row r="33" spans="1:1" ht="7.5" customHeight="1" x14ac:dyDescent="0.2">
      <c r="A33" s="151"/>
    </row>
    <row r="34" spans="1:1" ht="7.5" customHeight="1" x14ac:dyDescent="0.2">
      <c r="A34" s="151"/>
    </row>
    <row r="35" spans="1:1" ht="7.5" customHeight="1" x14ac:dyDescent="0.2">
      <c r="A35" s="151"/>
    </row>
    <row r="36" spans="1:1" ht="7.5" customHeight="1" x14ac:dyDescent="0.2">
      <c r="A36" s="150"/>
    </row>
    <row r="37" spans="1:1" ht="7.5" customHeight="1" x14ac:dyDescent="0.2">
      <c r="A37" s="151"/>
    </row>
    <row r="38" spans="1:1" ht="7.5" customHeight="1" x14ac:dyDescent="0.2">
      <c r="A38" s="151"/>
    </row>
    <row r="39" spans="1:1" ht="7.5" customHeight="1" x14ac:dyDescent="0.2">
      <c r="A39" s="151"/>
    </row>
    <row r="40" spans="1:1" ht="7.5" customHeight="1" x14ac:dyDescent="0.2">
      <c r="A40" s="150"/>
    </row>
    <row r="41" spans="1:1" ht="7.5" customHeight="1" x14ac:dyDescent="0.2">
      <c r="A41" s="151"/>
    </row>
    <row r="42" spans="1:1" ht="7.5" customHeight="1" x14ac:dyDescent="0.2">
      <c r="A42" s="151"/>
    </row>
    <row r="43" spans="1:1" ht="7.5" customHeight="1" x14ac:dyDescent="0.2">
      <c r="A43" s="151"/>
    </row>
    <row r="44" spans="1:1" ht="7.5" customHeight="1" x14ac:dyDescent="0.2">
      <c r="A44" s="151"/>
    </row>
    <row r="45" spans="1:1" ht="7.5" customHeight="1" x14ac:dyDescent="0.2">
      <c r="A45" s="151"/>
    </row>
    <row r="46" spans="1:1" ht="7.5" customHeight="1" x14ac:dyDescent="0.2">
      <c r="A46" s="151"/>
    </row>
    <row r="47" spans="1:1" ht="7.5" customHeight="1" x14ac:dyDescent="0.2">
      <c r="A47" s="151"/>
    </row>
    <row r="48" spans="1:1" ht="7.5" customHeight="1" x14ac:dyDescent="0.2">
      <c r="A48" s="151"/>
    </row>
    <row r="49" spans="1:1" ht="7.5" customHeight="1" x14ac:dyDescent="0.2">
      <c r="A49" s="150"/>
    </row>
    <row r="50" spans="1:1" ht="7.5" customHeight="1" x14ac:dyDescent="0.2">
      <c r="A50" s="151"/>
    </row>
    <row r="51" spans="1:1" ht="7.5" customHeight="1" x14ac:dyDescent="0.2">
      <c r="A51" s="151"/>
    </row>
    <row r="52" spans="1:1" ht="7.5" customHeight="1" x14ac:dyDescent="0.2">
      <c r="A52" s="151"/>
    </row>
    <row r="53" spans="1:1" ht="7.5" customHeight="1" x14ac:dyDescent="0.2">
      <c r="A53" s="151"/>
    </row>
    <row r="54" spans="1:1" ht="7.5" customHeight="1" x14ac:dyDescent="0.2">
      <c r="A54" s="151"/>
    </row>
    <row r="55" spans="1:1" ht="7.5" customHeight="1" x14ac:dyDescent="0.2">
      <c r="A55" s="151"/>
    </row>
    <row r="56" spans="1:1" ht="7.5" customHeight="1" x14ac:dyDescent="0.2">
      <c r="A56" s="151"/>
    </row>
    <row r="57" spans="1:1" ht="7.5" customHeight="1" x14ac:dyDescent="0.2">
      <c r="A57" s="151"/>
    </row>
    <row r="59" spans="1:1" ht="7.5" customHeight="1" x14ac:dyDescent="0.2">
      <c r="A59" s="152"/>
    </row>
    <row r="60" spans="1:1" ht="7.5" customHeight="1" x14ac:dyDescent="0.2">
      <c r="A60" s="153"/>
    </row>
    <row r="61" spans="1:1" ht="7.5" customHeight="1" x14ac:dyDescent="0.2">
      <c r="A61" s="154"/>
    </row>
    <row r="62" spans="1:1" ht="7.5" customHeight="1" x14ac:dyDescent="0.2">
      <c r="A62" s="149"/>
    </row>
    <row r="63" spans="1:1" ht="7.5" customHeight="1" x14ac:dyDescent="0.2">
      <c r="A63" s="149"/>
    </row>
    <row r="64" spans="1:1" ht="7.5" customHeight="1" x14ac:dyDescent="0.2">
      <c r="A64" s="149"/>
    </row>
    <row r="65" spans="1:1" ht="7.5" customHeight="1" x14ac:dyDescent="0.2">
      <c r="A65" s="149"/>
    </row>
    <row r="66" spans="1:1" ht="7.5" customHeight="1" x14ac:dyDescent="0.2">
      <c r="A66" s="149"/>
    </row>
    <row r="67" spans="1:1" ht="7.5" customHeight="1" x14ac:dyDescent="0.2">
      <c r="A67" s="149"/>
    </row>
    <row r="68" spans="1:1" ht="7.5" customHeight="1" x14ac:dyDescent="0.2">
      <c r="A68" s="149"/>
    </row>
    <row r="69" spans="1:1" ht="7.5" customHeight="1" x14ac:dyDescent="0.2">
      <c r="A69" s="149"/>
    </row>
    <row r="70" spans="1:1" ht="7.5" customHeight="1" x14ac:dyDescent="0.2">
      <c r="A70" s="149"/>
    </row>
    <row r="71" spans="1:1" ht="7.5" customHeight="1" x14ac:dyDescent="0.2">
      <c r="A71" s="149"/>
    </row>
    <row r="72" spans="1:1" ht="7.5" customHeight="1" x14ac:dyDescent="0.2">
      <c r="A72" s="149"/>
    </row>
    <row r="73" spans="1:1" ht="7.5" customHeight="1" x14ac:dyDescent="0.2">
      <c r="A73" s="149"/>
    </row>
    <row r="74" spans="1:1" ht="7.5" customHeight="1" x14ac:dyDescent="0.2">
      <c r="A74" s="149"/>
    </row>
    <row r="75" spans="1:1" ht="7.5" customHeight="1" x14ac:dyDescent="0.2">
      <c r="A75" s="150"/>
    </row>
    <row r="76" spans="1:1" ht="7.5" customHeight="1" x14ac:dyDescent="0.2">
      <c r="A76" s="151"/>
    </row>
    <row r="77" spans="1:1" ht="7.5" customHeight="1" x14ac:dyDescent="0.2">
      <c r="A77" s="151"/>
    </row>
    <row r="78" spans="1:1" ht="7.5" customHeight="1" x14ac:dyDescent="0.2">
      <c r="A78" s="151"/>
    </row>
    <row r="79" spans="1:1" ht="7.5" customHeight="1" x14ac:dyDescent="0.2">
      <c r="A79" s="151"/>
    </row>
    <row r="80" spans="1:1" ht="7.5" customHeight="1" x14ac:dyDescent="0.2">
      <c r="A80" s="151"/>
    </row>
    <row r="81" spans="1:1" ht="7.5" customHeight="1" x14ac:dyDescent="0.2">
      <c r="A81" s="151"/>
    </row>
    <row r="82" spans="1:1" ht="7.5" customHeight="1" x14ac:dyDescent="0.2">
      <c r="A82" s="151"/>
    </row>
    <row r="83" spans="1:1" ht="7.5" customHeight="1" x14ac:dyDescent="0.2">
      <c r="A83" s="151"/>
    </row>
    <row r="84" spans="1:1" ht="7.5" customHeight="1" x14ac:dyDescent="0.2">
      <c r="A84" s="150"/>
    </row>
    <row r="85" spans="1:1" ht="7.5" customHeight="1" x14ac:dyDescent="0.2">
      <c r="A85" s="151"/>
    </row>
    <row r="86" spans="1:1" ht="7.5" customHeight="1" x14ac:dyDescent="0.2">
      <c r="A86" s="151"/>
    </row>
    <row r="87" spans="1:1" ht="7.5" customHeight="1" x14ac:dyDescent="0.2">
      <c r="A87" s="151"/>
    </row>
    <row r="88" spans="1:1" ht="7.5" customHeight="1" x14ac:dyDescent="0.2">
      <c r="A88" s="150"/>
    </row>
    <row r="89" spans="1:1" ht="7.5" customHeight="1" x14ac:dyDescent="0.2">
      <c r="A89" s="151"/>
    </row>
    <row r="90" spans="1:1" ht="7.5" customHeight="1" x14ac:dyDescent="0.2">
      <c r="A90" s="151"/>
    </row>
    <row r="91" spans="1:1" ht="7.5" customHeight="1" x14ac:dyDescent="0.2">
      <c r="A91" s="151"/>
    </row>
    <row r="92" spans="1:1" ht="7.5" customHeight="1" x14ac:dyDescent="0.2">
      <c r="A92" s="151"/>
    </row>
    <row r="93" spans="1:1" ht="7.5" customHeight="1" x14ac:dyDescent="0.2">
      <c r="A93" s="151"/>
    </row>
    <row r="94" spans="1:1" ht="7.5" customHeight="1" x14ac:dyDescent="0.2">
      <c r="A94" s="151"/>
    </row>
    <row r="95" spans="1:1" ht="7.5" customHeight="1" x14ac:dyDescent="0.2">
      <c r="A95" s="151"/>
    </row>
    <row r="96" spans="1:1" ht="7.5" customHeight="1" x14ac:dyDescent="0.2">
      <c r="A96" s="151"/>
    </row>
    <row r="97" spans="1:1" ht="7.5" customHeight="1" x14ac:dyDescent="0.2">
      <c r="A97" s="150"/>
    </row>
    <row r="98" spans="1:1" ht="7.5" customHeight="1" x14ac:dyDescent="0.2">
      <c r="A98" s="151"/>
    </row>
    <row r="99" spans="1:1" ht="7.5" customHeight="1" x14ac:dyDescent="0.2">
      <c r="A99" s="151"/>
    </row>
    <row r="100" spans="1:1" ht="7.5" customHeight="1" x14ac:dyDescent="0.2">
      <c r="A100" s="151"/>
    </row>
    <row r="101" spans="1:1" ht="7.5" customHeight="1" x14ac:dyDescent="0.2">
      <c r="A101" s="151"/>
    </row>
    <row r="102" spans="1:1" ht="7.5" customHeight="1" x14ac:dyDescent="0.2">
      <c r="A102" s="151"/>
    </row>
    <row r="103" spans="1:1" ht="7.5" customHeight="1" x14ac:dyDescent="0.2">
      <c r="A103" s="151"/>
    </row>
    <row r="104" spans="1:1" ht="7.5" customHeight="1" x14ac:dyDescent="0.2">
      <c r="A104" s="151"/>
    </row>
    <row r="105" spans="1:1" ht="7.5" customHeight="1" x14ac:dyDescent="0.2">
      <c r="A105" s="151"/>
    </row>
    <row r="107" spans="1:1" ht="7.5" customHeight="1" x14ac:dyDescent="0.2">
      <c r="A107" s="152"/>
    </row>
    <row r="108" spans="1:1" ht="7.5" customHeight="1" x14ac:dyDescent="0.2">
      <c r="A108" s="153"/>
    </row>
    <row r="109" spans="1:1" ht="7.5" customHeight="1" x14ac:dyDescent="0.2">
      <c r="A109" s="153"/>
    </row>
    <row r="110" spans="1:1" ht="7.5" customHeight="1" x14ac:dyDescent="0.2">
      <c r="A110" s="149"/>
    </row>
    <row r="111" spans="1:1" ht="7.5" customHeight="1" x14ac:dyDescent="0.2">
      <c r="A111" s="149"/>
    </row>
    <row r="112" spans="1:1" ht="7.5" customHeight="1" x14ac:dyDescent="0.2">
      <c r="A112" s="149"/>
    </row>
    <row r="113" spans="1:1" ht="7.5" customHeight="1" x14ac:dyDescent="0.2">
      <c r="A113" s="149"/>
    </row>
    <row r="114" spans="1:1" ht="7.5" customHeight="1" x14ac:dyDescent="0.2">
      <c r="A114" s="149"/>
    </row>
    <row r="115" spans="1:1" ht="7.5" customHeight="1" x14ac:dyDescent="0.2">
      <c r="A115" s="149"/>
    </row>
    <row r="116" spans="1:1" ht="7.5" customHeight="1" x14ac:dyDescent="0.2">
      <c r="A116" s="149"/>
    </row>
    <row r="117" spans="1:1" ht="7.5" customHeight="1" x14ac:dyDescent="0.2">
      <c r="A117" s="149"/>
    </row>
    <row r="118" spans="1:1" ht="7.5" customHeight="1" x14ac:dyDescent="0.2">
      <c r="A118" s="149"/>
    </row>
    <row r="119" spans="1:1" ht="7.5" customHeight="1" x14ac:dyDescent="0.2">
      <c r="A119" s="149"/>
    </row>
    <row r="120" spans="1:1" ht="7.5" customHeight="1" x14ac:dyDescent="0.2">
      <c r="A120" s="149"/>
    </row>
    <row r="121" spans="1:1" ht="7.5" customHeight="1" x14ac:dyDescent="0.2">
      <c r="A121" s="149"/>
    </row>
    <row r="122" spans="1:1" ht="7.5" customHeight="1" x14ac:dyDescent="0.2">
      <c r="A122" s="149"/>
    </row>
    <row r="123" spans="1:1" ht="7.5" customHeight="1" x14ac:dyDescent="0.2">
      <c r="A123" s="150"/>
    </row>
    <row r="124" spans="1:1" ht="7.5" customHeight="1" x14ac:dyDescent="0.2">
      <c r="A124" s="151"/>
    </row>
    <row r="125" spans="1:1" ht="7.5" customHeight="1" x14ac:dyDescent="0.2">
      <c r="A125" s="151"/>
    </row>
    <row r="126" spans="1:1" ht="7.5" customHeight="1" x14ac:dyDescent="0.2">
      <c r="A126" s="151"/>
    </row>
    <row r="127" spans="1:1" ht="7.5" customHeight="1" x14ac:dyDescent="0.2">
      <c r="A127" s="151"/>
    </row>
    <row r="128" spans="1:1" ht="7.5" customHeight="1" x14ac:dyDescent="0.2">
      <c r="A128" s="151"/>
    </row>
    <row r="129" spans="1:1" ht="7.5" customHeight="1" x14ac:dyDescent="0.2">
      <c r="A129" s="151"/>
    </row>
    <row r="130" spans="1:1" ht="7.5" customHeight="1" x14ac:dyDescent="0.2">
      <c r="A130" s="151"/>
    </row>
    <row r="131" spans="1:1" ht="7.5" customHeight="1" x14ac:dyDescent="0.2">
      <c r="A131" s="151"/>
    </row>
    <row r="132" spans="1:1" ht="7.5" customHeight="1" x14ac:dyDescent="0.2">
      <c r="A132" s="150"/>
    </row>
    <row r="133" spans="1:1" ht="7.5" customHeight="1" x14ac:dyDescent="0.2">
      <c r="A133" s="151"/>
    </row>
    <row r="134" spans="1:1" ht="7.5" customHeight="1" x14ac:dyDescent="0.2">
      <c r="A134" s="151"/>
    </row>
    <row r="135" spans="1:1" ht="7.5" customHeight="1" x14ac:dyDescent="0.2">
      <c r="A135" s="151"/>
    </row>
    <row r="136" spans="1:1" ht="7.5" customHeight="1" x14ac:dyDescent="0.2">
      <c r="A136" s="150"/>
    </row>
    <row r="137" spans="1:1" ht="7.5" customHeight="1" x14ac:dyDescent="0.2">
      <c r="A137" s="151"/>
    </row>
    <row r="138" spans="1:1" ht="7.5" customHeight="1" x14ac:dyDescent="0.2">
      <c r="A138" s="151"/>
    </row>
    <row r="139" spans="1:1" ht="7.5" customHeight="1" x14ac:dyDescent="0.2">
      <c r="A139" s="151"/>
    </row>
    <row r="140" spans="1:1" ht="7.5" customHeight="1" x14ac:dyDescent="0.2">
      <c r="A140" s="151"/>
    </row>
    <row r="141" spans="1:1" ht="7.5" customHeight="1" x14ac:dyDescent="0.2">
      <c r="A141" s="151"/>
    </row>
    <row r="142" spans="1:1" ht="7.5" customHeight="1" x14ac:dyDescent="0.2">
      <c r="A142" s="151"/>
    </row>
    <row r="143" spans="1:1" ht="7.5" customHeight="1" x14ac:dyDescent="0.2">
      <c r="A143" s="151"/>
    </row>
    <row r="144" spans="1:1" ht="7.5" customHeight="1" x14ac:dyDescent="0.2">
      <c r="A144" s="151"/>
    </row>
    <row r="145" spans="1:1" ht="7.5" customHeight="1" x14ac:dyDescent="0.2">
      <c r="A145" s="150"/>
    </row>
    <row r="146" spans="1:1" ht="7.5" customHeight="1" x14ac:dyDescent="0.2">
      <c r="A146" s="151"/>
    </row>
    <row r="147" spans="1:1" ht="7.5" customHeight="1" x14ac:dyDescent="0.2">
      <c r="A147" s="151"/>
    </row>
    <row r="148" spans="1:1" ht="7.5" customHeight="1" x14ac:dyDescent="0.2">
      <c r="A148" s="151"/>
    </row>
    <row r="149" spans="1:1" ht="7.5" customHeight="1" x14ac:dyDescent="0.2">
      <c r="A149" s="151"/>
    </row>
    <row r="150" spans="1:1" ht="7.5" customHeight="1" x14ac:dyDescent="0.2">
      <c r="A150" s="151"/>
    </row>
    <row r="151" spans="1:1" ht="7.5" customHeight="1" x14ac:dyDescent="0.2">
      <c r="A151" s="151"/>
    </row>
    <row r="152" spans="1:1" ht="7.5" customHeight="1" x14ac:dyDescent="0.2">
      <c r="A152" s="151"/>
    </row>
    <row r="153" spans="1:1" ht="7.5" customHeight="1" x14ac:dyDescent="0.2">
      <c r="A153" s="151"/>
    </row>
    <row r="155" spans="1:1" ht="7.5" customHeight="1" x14ac:dyDescent="0.2">
      <c r="A155" s="585"/>
    </row>
    <row r="156" spans="1:1" ht="7.5" customHeight="1" x14ac:dyDescent="0.2">
      <c r="A156" s="585"/>
    </row>
    <row r="157" spans="1:1" ht="7.5" customHeight="1" x14ac:dyDescent="0.2">
      <c r="A157" s="155"/>
    </row>
    <row r="158" spans="1:1" ht="7.5" customHeight="1" x14ac:dyDescent="0.2">
      <c r="A158" s="155"/>
    </row>
    <row r="159" spans="1:1" ht="7.5" customHeight="1" x14ac:dyDescent="0.2">
      <c r="A159" s="156"/>
    </row>
    <row r="160" spans="1:1" ht="7.5" customHeight="1" x14ac:dyDescent="0.2">
      <c r="A160" s="155"/>
    </row>
    <row r="161" spans="1:1" ht="7.5" customHeight="1" x14ac:dyDescent="0.2">
      <c r="A161" s="151"/>
    </row>
    <row r="162" spans="1:1" ht="7.5" customHeight="1" x14ac:dyDescent="0.2">
      <c r="A162" s="151"/>
    </row>
    <row r="163" spans="1:1" ht="7.5" customHeight="1" x14ac:dyDescent="0.2">
      <c r="A163" s="151"/>
    </row>
    <row r="164" spans="1:1" ht="7.5" customHeight="1" x14ac:dyDescent="0.2">
      <c r="A164" s="151"/>
    </row>
    <row r="165" spans="1:1" ht="7.5" customHeight="1" x14ac:dyDescent="0.2">
      <c r="A165" s="151"/>
    </row>
    <row r="166" spans="1:1" ht="7.5" customHeight="1" x14ac:dyDescent="0.2">
      <c r="A166" s="151"/>
    </row>
    <row r="167" spans="1:1" ht="7.5" customHeight="1" x14ac:dyDescent="0.2">
      <c r="A167" s="151"/>
    </row>
    <row r="168" spans="1:1" ht="7.5" customHeight="1" x14ac:dyDescent="0.2">
      <c r="A168" s="151"/>
    </row>
    <row r="169" spans="1:1" ht="7.5" customHeight="1" x14ac:dyDescent="0.2">
      <c r="A169" s="151"/>
    </row>
    <row r="170" spans="1:1" ht="7.5" customHeight="1" x14ac:dyDescent="0.2">
      <c r="A170" s="151"/>
    </row>
    <row r="171" spans="1:1" ht="7.5" customHeight="1" x14ac:dyDescent="0.2">
      <c r="A171" s="151"/>
    </row>
    <row r="172" spans="1:1" ht="7.5" customHeight="1" x14ac:dyDescent="0.2">
      <c r="A172" s="151"/>
    </row>
    <row r="173" spans="1:1" ht="7.5" customHeight="1" x14ac:dyDescent="0.2">
      <c r="A173" s="151"/>
    </row>
    <row r="174" spans="1:1" ht="7.5" customHeight="1" x14ac:dyDescent="0.2">
      <c r="A174" s="151"/>
    </row>
    <row r="175" spans="1:1" ht="7.5" customHeight="1" x14ac:dyDescent="0.2">
      <c r="A175" s="155"/>
    </row>
    <row r="176" spans="1:1" ht="7.5" customHeight="1" x14ac:dyDescent="0.2">
      <c r="A176" s="151"/>
    </row>
    <row r="177" spans="1:1" ht="7.5" customHeight="1" x14ac:dyDescent="0.2">
      <c r="A177" s="151"/>
    </row>
    <row r="178" spans="1:1" ht="7.5" customHeight="1" x14ac:dyDescent="0.2">
      <c r="A178" s="151"/>
    </row>
    <row r="179" spans="1:1" ht="7.5" customHeight="1" x14ac:dyDescent="0.2">
      <c r="A179" s="151"/>
    </row>
    <row r="180" spans="1:1" ht="7.5" customHeight="1" x14ac:dyDescent="0.2">
      <c r="A180" s="151"/>
    </row>
    <row r="182" spans="1:1" ht="7.5" customHeight="1" x14ac:dyDescent="0.2">
      <c r="A182" s="585"/>
    </row>
    <row r="183" spans="1:1" ht="7.5" customHeight="1" x14ac:dyDescent="0.2">
      <c r="A183" s="585"/>
    </row>
    <row r="184" spans="1:1" ht="7.5" customHeight="1" x14ac:dyDescent="0.2">
      <c r="A184" s="155"/>
    </row>
    <row r="185" spans="1:1" ht="7.5" customHeight="1" x14ac:dyDescent="0.2">
      <c r="A185" s="155"/>
    </row>
    <row r="186" spans="1:1" ht="7.5" customHeight="1" x14ac:dyDescent="0.2">
      <c r="A186" s="151"/>
    </row>
    <row r="187" spans="1:1" ht="7.5" customHeight="1" x14ac:dyDescent="0.2">
      <c r="A187" s="155"/>
    </row>
    <row r="188" spans="1:1" ht="7.5" customHeight="1" x14ac:dyDescent="0.2">
      <c r="A188" s="151"/>
    </row>
    <row r="189" spans="1:1" ht="7.5" customHeight="1" x14ac:dyDescent="0.2">
      <c r="A189" s="151"/>
    </row>
    <row r="190" spans="1:1" ht="7.5" customHeight="1" x14ac:dyDescent="0.2">
      <c r="A190" s="151"/>
    </row>
    <row r="191" spans="1:1" ht="7.5" customHeight="1" x14ac:dyDescent="0.2">
      <c r="A191" s="151"/>
    </row>
    <row r="192" spans="1:1" ht="7.5" customHeight="1" x14ac:dyDescent="0.2">
      <c r="A192" s="151"/>
    </row>
    <row r="193" spans="1:1" ht="7.5" customHeight="1" x14ac:dyDescent="0.2">
      <c r="A193" s="151"/>
    </row>
    <row r="194" spans="1:1" ht="7.5" customHeight="1" x14ac:dyDescent="0.2">
      <c r="A194" s="151"/>
    </row>
    <row r="195" spans="1:1" ht="7.5" customHeight="1" x14ac:dyDescent="0.2">
      <c r="A195" s="151"/>
    </row>
    <row r="196" spans="1:1" ht="7.5" customHeight="1" x14ac:dyDescent="0.2">
      <c r="A196" s="151"/>
    </row>
    <row r="197" spans="1:1" ht="7.5" customHeight="1" x14ac:dyDescent="0.2">
      <c r="A197" s="151"/>
    </row>
    <row r="198" spans="1:1" ht="7.5" customHeight="1" x14ac:dyDescent="0.2">
      <c r="A198" s="151"/>
    </row>
    <row r="199" spans="1:1" ht="7.5" customHeight="1" x14ac:dyDescent="0.2">
      <c r="A199" s="151"/>
    </row>
    <row r="200" spans="1:1" ht="7.5" customHeight="1" x14ac:dyDescent="0.2">
      <c r="A200" s="151"/>
    </row>
    <row r="201" spans="1:1" ht="7.5" customHeight="1" x14ac:dyDescent="0.2">
      <c r="A201" s="151"/>
    </row>
    <row r="202" spans="1:1" ht="7.5" customHeight="1" x14ac:dyDescent="0.2">
      <c r="A202" s="155"/>
    </row>
    <row r="203" spans="1:1" ht="7.5" customHeight="1" x14ac:dyDescent="0.2">
      <c r="A203" s="151"/>
    </row>
    <row r="204" spans="1:1" ht="7.5" customHeight="1" x14ac:dyDescent="0.2">
      <c r="A204" s="151"/>
    </row>
    <row r="205" spans="1:1" ht="7.5" customHeight="1" x14ac:dyDescent="0.2">
      <c r="A205" s="151"/>
    </row>
    <row r="206" spans="1:1" ht="7.5" customHeight="1" x14ac:dyDescent="0.2">
      <c r="A206" s="151"/>
    </row>
    <row r="207" spans="1:1" ht="7.5" customHeight="1" x14ac:dyDescent="0.2">
      <c r="A207" s="151"/>
    </row>
    <row r="209" spans="1:1" ht="7.5" customHeight="1" x14ac:dyDescent="0.2">
      <c r="A209" s="585"/>
    </row>
    <row r="210" spans="1:1" ht="7.5" customHeight="1" x14ac:dyDescent="0.2">
      <c r="A210" s="585"/>
    </row>
    <row r="211" spans="1:1" ht="7.5" customHeight="1" x14ac:dyDescent="0.2">
      <c r="A211" s="155"/>
    </row>
    <row r="212" spans="1:1" ht="7.5" customHeight="1" x14ac:dyDescent="0.2">
      <c r="A212" s="155"/>
    </row>
    <row r="213" spans="1:1" ht="7.5" customHeight="1" x14ac:dyDescent="0.2">
      <c r="A213" s="151"/>
    </row>
    <row r="214" spans="1:1" ht="7.5" customHeight="1" x14ac:dyDescent="0.2">
      <c r="A214" s="155"/>
    </row>
    <row r="215" spans="1:1" ht="7.5" customHeight="1" x14ac:dyDescent="0.2">
      <c r="A215" s="151"/>
    </row>
    <row r="216" spans="1:1" ht="7.5" customHeight="1" x14ac:dyDescent="0.2">
      <c r="A216" s="151"/>
    </row>
    <row r="217" spans="1:1" ht="7.5" customHeight="1" x14ac:dyDescent="0.2">
      <c r="A217" s="151"/>
    </row>
    <row r="218" spans="1:1" ht="7.5" customHeight="1" x14ac:dyDescent="0.2">
      <c r="A218" s="151"/>
    </row>
    <row r="219" spans="1:1" ht="7.5" customHeight="1" x14ac:dyDescent="0.2">
      <c r="A219" s="151"/>
    </row>
    <row r="220" spans="1:1" ht="7.5" customHeight="1" x14ac:dyDescent="0.2">
      <c r="A220" s="151"/>
    </row>
    <row r="221" spans="1:1" ht="7.5" customHeight="1" x14ac:dyDescent="0.2">
      <c r="A221" s="151"/>
    </row>
    <row r="222" spans="1:1" ht="7.5" customHeight="1" x14ac:dyDescent="0.2">
      <c r="A222" s="151"/>
    </row>
    <row r="223" spans="1:1" ht="7.5" customHeight="1" x14ac:dyDescent="0.2">
      <c r="A223" s="151"/>
    </row>
    <row r="224" spans="1:1" ht="7.5" customHeight="1" x14ac:dyDescent="0.2">
      <c r="A224" s="151"/>
    </row>
    <row r="225" spans="1:1" ht="7.5" customHeight="1" x14ac:dyDescent="0.2">
      <c r="A225" s="151"/>
    </row>
    <row r="226" spans="1:1" ht="7.5" customHeight="1" x14ac:dyDescent="0.2">
      <c r="A226" s="151"/>
    </row>
    <row r="227" spans="1:1" ht="7.5" customHeight="1" x14ac:dyDescent="0.2">
      <c r="A227" s="151"/>
    </row>
    <row r="228" spans="1:1" ht="7.5" customHeight="1" x14ac:dyDescent="0.2">
      <c r="A228" s="151"/>
    </row>
    <row r="229" spans="1:1" ht="7.5" customHeight="1" x14ac:dyDescent="0.2">
      <c r="A229" s="155"/>
    </row>
    <row r="230" spans="1:1" ht="7.5" customHeight="1" x14ac:dyDescent="0.2">
      <c r="A230" s="151"/>
    </row>
    <row r="231" spans="1:1" ht="7.5" customHeight="1" x14ac:dyDescent="0.2">
      <c r="A231" s="151"/>
    </row>
    <row r="232" spans="1:1" ht="7.5" customHeight="1" x14ac:dyDescent="0.2">
      <c r="A232" s="151"/>
    </row>
    <row r="233" spans="1:1" ht="7.5" customHeight="1" x14ac:dyDescent="0.2">
      <c r="A233" s="151"/>
    </row>
    <row r="234" spans="1:1" ht="7.5" customHeight="1" x14ac:dyDescent="0.2">
      <c r="A234" s="151"/>
    </row>
    <row r="236" spans="1:1" ht="7.5" customHeight="1" x14ac:dyDescent="0.2">
      <c r="A236" s="585"/>
    </row>
    <row r="237" spans="1:1" ht="7.5" customHeight="1" x14ac:dyDescent="0.2">
      <c r="A237" s="585"/>
    </row>
    <row r="238" spans="1:1" ht="7.5" customHeight="1" x14ac:dyDescent="0.2">
      <c r="A238" s="155"/>
    </row>
    <row r="239" spans="1:1" ht="7.5" customHeight="1" x14ac:dyDescent="0.2">
      <c r="A239" s="155"/>
    </row>
    <row r="240" spans="1:1" ht="7.5" customHeight="1" x14ac:dyDescent="0.2">
      <c r="A240" s="151"/>
    </row>
    <row r="241" spans="1:1" ht="7.5" customHeight="1" x14ac:dyDescent="0.2">
      <c r="A241" s="155"/>
    </row>
    <row r="242" spans="1:1" ht="7.5" customHeight="1" x14ac:dyDescent="0.2">
      <c r="A242" s="151"/>
    </row>
    <row r="243" spans="1:1" ht="7.5" customHeight="1" x14ac:dyDescent="0.2">
      <c r="A243" s="151"/>
    </row>
    <row r="244" spans="1:1" ht="7.5" customHeight="1" x14ac:dyDescent="0.2">
      <c r="A244" s="151"/>
    </row>
    <row r="245" spans="1:1" ht="7.5" customHeight="1" x14ac:dyDescent="0.2">
      <c r="A245" s="151"/>
    </row>
    <row r="246" spans="1:1" ht="7.5" customHeight="1" x14ac:dyDescent="0.2">
      <c r="A246" s="151"/>
    </row>
    <row r="247" spans="1:1" ht="7.5" customHeight="1" x14ac:dyDescent="0.2">
      <c r="A247" s="151"/>
    </row>
    <row r="248" spans="1:1" ht="7.5" customHeight="1" x14ac:dyDescent="0.2">
      <c r="A248" s="151"/>
    </row>
    <row r="249" spans="1:1" ht="7.5" customHeight="1" x14ac:dyDescent="0.2">
      <c r="A249" s="151"/>
    </row>
    <row r="250" spans="1:1" ht="7.5" customHeight="1" x14ac:dyDescent="0.2">
      <c r="A250" s="151"/>
    </row>
    <row r="251" spans="1:1" ht="7.5" customHeight="1" x14ac:dyDescent="0.2">
      <c r="A251" s="151"/>
    </row>
    <row r="252" spans="1:1" ht="7.5" customHeight="1" x14ac:dyDescent="0.2">
      <c r="A252" s="151"/>
    </row>
    <row r="253" spans="1:1" ht="7.5" customHeight="1" x14ac:dyDescent="0.2">
      <c r="A253" s="151"/>
    </row>
    <row r="254" spans="1:1" ht="7.5" customHeight="1" x14ac:dyDescent="0.2">
      <c r="A254" s="151"/>
    </row>
    <row r="255" spans="1:1" ht="7.5" customHeight="1" x14ac:dyDescent="0.2">
      <c r="A255" s="151"/>
    </row>
    <row r="256" spans="1:1" ht="7.5" customHeight="1" x14ac:dyDescent="0.2">
      <c r="A256" s="155"/>
    </row>
    <row r="257" spans="1:1" ht="7.5" customHeight="1" x14ac:dyDescent="0.2">
      <c r="A257" s="151"/>
    </row>
    <row r="258" spans="1:1" ht="7.5" customHeight="1" x14ac:dyDescent="0.2">
      <c r="A258" s="151"/>
    </row>
    <row r="259" spans="1:1" ht="7.5" customHeight="1" x14ac:dyDescent="0.2">
      <c r="A259" s="151"/>
    </row>
    <row r="260" spans="1:1" ht="7.5" customHeight="1" x14ac:dyDescent="0.2">
      <c r="A260" s="151"/>
    </row>
    <row r="261" spans="1:1" ht="7.5" customHeight="1" x14ac:dyDescent="0.2">
      <c r="A261" s="151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view="pageBreakPreview" topLeftCell="A4" zoomScale="130" zoomScaleNormal="100" zoomScaleSheetLayoutView="130" workbookViewId="0">
      <selection activeCell="E24" sqref="E24"/>
    </sheetView>
  </sheetViews>
  <sheetFormatPr defaultRowHeight="12.75" x14ac:dyDescent="0.2"/>
  <cols>
    <col min="1" max="1" width="22.7109375" style="157" customWidth="1"/>
    <col min="2" max="2" width="9.7109375" style="157" customWidth="1"/>
    <col min="3" max="6" width="13.28515625" style="157" customWidth="1"/>
    <col min="7" max="7" width="9.140625" style="157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57" hidden="1" customWidth="1"/>
    <col min="38" max="38" width="4.7109375" style="157" hidden="1" customWidth="1"/>
    <col min="39" max="40" width="0" style="157" hidden="1" customWidth="1"/>
    <col min="41" max="41" width="4.7109375" style="157" hidden="1" customWidth="1"/>
    <col min="42" max="55" width="0" style="157" hidden="1" customWidth="1"/>
    <col min="56" max="16384" width="9.140625" style="157"/>
  </cols>
  <sheetData>
    <row r="1" spans="1:37" ht="25.5" customHeight="1" x14ac:dyDescent="0.2">
      <c r="A1" s="586" t="s">
        <v>117</v>
      </c>
      <c r="B1" s="586"/>
      <c r="C1" s="586"/>
      <c r="D1" s="586"/>
      <c r="E1" s="586"/>
      <c r="F1" s="586"/>
    </row>
    <row r="2" spans="1:37" ht="12.75" customHeight="1" x14ac:dyDescent="0.2">
      <c r="A2" s="587" t="s">
        <v>118</v>
      </c>
      <c r="B2" s="587"/>
      <c r="C2" s="158">
        <v>6</v>
      </c>
      <c r="D2" s="158"/>
      <c r="E2" s="158"/>
      <c r="F2" s="159"/>
    </row>
    <row r="3" spans="1:37" x14ac:dyDescent="0.2">
      <c r="A3" s="160" t="s">
        <v>119</v>
      </c>
      <c r="B3" s="161" t="s">
        <v>120</v>
      </c>
      <c r="C3" s="162">
        <v>155.6</v>
      </c>
      <c r="D3" s="162"/>
      <c r="E3" s="162"/>
      <c r="F3" s="163"/>
    </row>
    <row r="4" spans="1:37" ht="12.75" customHeight="1" x14ac:dyDescent="0.2">
      <c r="A4" s="164" t="s">
        <v>121</v>
      </c>
      <c r="B4" s="165"/>
      <c r="C4" s="166" t="s">
        <v>461</v>
      </c>
      <c r="D4" s="166"/>
      <c r="E4" s="166"/>
      <c r="F4" s="166"/>
      <c r="AC4" s="167"/>
      <c r="AD4" s="167"/>
      <c r="AE4" s="167"/>
      <c r="AF4" s="167"/>
      <c r="AG4" s="167"/>
      <c r="AH4" s="167"/>
      <c r="AI4" s="167"/>
      <c r="AJ4" s="167"/>
      <c r="AK4" s="167"/>
    </row>
    <row r="5" spans="1:37" ht="12.75" customHeight="1" x14ac:dyDescent="0.2">
      <c r="A5" s="164" t="s">
        <v>122</v>
      </c>
      <c r="B5" s="165" t="s">
        <v>123</v>
      </c>
      <c r="C5" s="168">
        <v>343.10931377999998</v>
      </c>
      <c r="D5" s="168"/>
      <c r="E5" s="168"/>
      <c r="F5" s="170"/>
      <c r="AC5" s="171"/>
      <c r="AD5" s="171"/>
      <c r="AE5" s="167"/>
      <c r="AF5" s="167"/>
      <c r="AG5" s="167"/>
      <c r="AH5" s="167"/>
      <c r="AI5" s="167"/>
      <c r="AJ5" s="167"/>
      <c r="AK5" s="167"/>
    </row>
    <row r="6" spans="1:37" ht="12.75" customHeight="1" x14ac:dyDescent="0.2">
      <c r="A6" s="164" t="s">
        <v>124</v>
      </c>
      <c r="B6" s="165"/>
      <c r="C6" s="166" t="s">
        <v>498</v>
      </c>
      <c r="D6" s="166"/>
      <c r="E6" s="166"/>
      <c r="F6" s="166"/>
      <c r="X6" s="172"/>
      <c r="Y6" s="172"/>
      <c r="Z6" s="172"/>
      <c r="AA6" s="172"/>
      <c r="AB6" s="172"/>
      <c r="AC6" s="171"/>
      <c r="AD6" s="171"/>
      <c r="AE6" s="167"/>
      <c r="AF6" s="167"/>
      <c r="AG6" s="167"/>
      <c r="AH6" s="167"/>
      <c r="AI6" s="167"/>
      <c r="AJ6" s="167"/>
      <c r="AK6" s="167"/>
    </row>
    <row r="7" spans="1:37" ht="12.75" customHeight="1" x14ac:dyDescent="0.2">
      <c r="A7" s="164" t="s">
        <v>125</v>
      </c>
      <c r="B7" s="165" t="s">
        <v>126</v>
      </c>
      <c r="C7" s="173">
        <v>1460</v>
      </c>
      <c r="D7" s="175"/>
      <c r="E7" s="173"/>
      <c r="F7" s="174"/>
      <c r="X7" s="172"/>
      <c r="Y7" s="172"/>
      <c r="Z7" s="172"/>
      <c r="AA7" s="172"/>
      <c r="AB7" s="172"/>
      <c r="AC7" s="171"/>
      <c r="AD7" s="171"/>
      <c r="AE7" s="167"/>
      <c r="AF7" s="167"/>
      <c r="AG7" s="167"/>
      <c r="AH7" s="167"/>
      <c r="AI7" s="167"/>
      <c r="AJ7" s="167"/>
      <c r="AK7" s="167"/>
    </row>
    <row r="8" spans="1:37" ht="12.75" customHeight="1" x14ac:dyDescent="0.2">
      <c r="A8" s="164" t="s">
        <v>127</v>
      </c>
      <c r="B8" s="165" t="s">
        <v>126</v>
      </c>
      <c r="C8" s="173">
        <v>2520</v>
      </c>
      <c r="D8" s="175"/>
      <c r="E8" s="175"/>
      <c r="F8" s="174"/>
      <c r="H8" s="588" t="s">
        <v>128</v>
      </c>
      <c r="I8" s="588"/>
      <c r="J8" s="588"/>
      <c r="K8" s="588"/>
      <c r="L8" s="588"/>
      <c r="M8" s="588"/>
      <c r="N8" s="588"/>
      <c r="O8" s="588"/>
      <c r="X8" s="172"/>
      <c r="Y8" s="172"/>
      <c r="Z8" s="172"/>
      <c r="AA8" s="172"/>
      <c r="AB8" s="172"/>
      <c r="AC8" s="171"/>
      <c r="AD8" s="171"/>
      <c r="AE8" s="167"/>
      <c r="AF8" s="167"/>
      <c r="AG8" s="167"/>
      <c r="AH8" s="167"/>
      <c r="AI8" s="167"/>
      <c r="AJ8" s="167"/>
      <c r="AK8" s="167"/>
    </row>
    <row r="9" spans="1:37" ht="12.75" customHeight="1" x14ac:dyDescent="0.2">
      <c r="A9" s="164" t="s">
        <v>129</v>
      </c>
      <c r="B9" s="165" t="s">
        <v>126</v>
      </c>
      <c r="C9" s="169">
        <v>1060</v>
      </c>
      <c r="D9" s="168"/>
      <c r="E9" s="168"/>
      <c r="F9" s="176"/>
      <c r="H9" s="588"/>
      <c r="I9" s="588"/>
      <c r="J9" s="588"/>
      <c r="K9" s="588"/>
      <c r="L9" s="588"/>
      <c r="M9" s="588"/>
      <c r="N9" s="588"/>
      <c r="O9" s="588"/>
      <c r="X9" s="172"/>
      <c r="Y9" s="172"/>
      <c r="Z9" s="172"/>
      <c r="AA9" s="172"/>
      <c r="AB9" s="172"/>
      <c r="AC9" s="171"/>
      <c r="AD9" s="171"/>
      <c r="AE9" s="167"/>
      <c r="AF9" s="167"/>
      <c r="AG9" s="167"/>
      <c r="AH9" s="167"/>
      <c r="AI9" s="167"/>
      <c r="AJ9" s="167"/>
      <c r="AK9" s="167"/>
    </row>
    <row r="10" spans="1:37" ht="12.75" customHeight="1" x14ac:dyDescent="0.2">
      <c r="A10" s="164" t="s">
        <v>130</v>
      </c>
      <c r="B10" s="165" t="s">
        <v>126</v>
      </c>
      <c r="C10" s="168">
        <v>0</v>
      </c>
      <c r="D10" s="168"/>
      <c r="E10" s="168"/>
      <c r="F10" s="176"/>
      <c r="H10" s="589" t="s">
        <v>131</v>
      </c>
      <c r="I10" s="589"/>
      <c r="J10" s="589"/>
      <c r="K10" s="589"/>
      <c r="L10" s="177"/>
      <c r="M10" s="177"/>
      <c r="N10" s="590">
        <v>28</v>
      </c>
      <c r="O10" s="590"/>
      <c r="X10" s="177"/>
      <c r="Y10" s="177"/>
      <c r="Z10" s="177"/>
      <c r="AA10" s="177"/>
      <c r="AB10" s="177"/>
      <c r="AC10" s="171"/>
      <c r="AD10" s="171"/>
      <c r="AE10" s="167"/>
      <c r="AF10" s="167"/>
      <c r="AG10" s="167"/>
      <c r="AH10" s="167"/>
      <c r="AI10" s="167"/>
      <c r="AJ10" s="167"/>
      <c r="AK10" s="167"/>
    </row>
    <row r="11" spans="1:37" ht="12.75" customHeight="1" x14ac:dyDescent="0.2">
      <c r="A11" s="164" t="s">
        <v>132</v>
      </c>
      <c r="B11" s="165" t="s">
        <v>133</v>
      </c>
      <c r="C11" s="178">
        <v>0</v>
      </c>
      <c r="D11" s="178"/>
      <c r="E11" s="347"/>
      <c r="F11" s="178"/>
      <c r="H11" s="589"/>
      <c r="I11" s="589"/>
      <c r="J11" s="589"/>
      <c r="K11" s="589"/>
      <c r="L11" s="177"/>
      <c r="M11" s="177"/>
      <c r="N11" s="590"/>
      <c r="O11" s="590"/>
      <c r="X11" s="177"/>
      <c r="Y11" s="177"/>
      <c r="Z11" s="177"/>
      <c r="AA11" s="177"/>
      <c r="AB11" s="177"/>
      <c r="AC11" s="171"/>
      <c r="AD11" s="171"/>
      <c r="AE11" s="167"/>
      <c r="AF11" s="167"/>
      <c r="AG11" s="167"/>
      <c r="AH11" s="167"/>
      <c r="AI11" s="167"/>
      <c r="AJ11" s="167"/>
      <c r="AK11" s="167"/>
    </row>
    <row r="12" spans="1:37" ht="12.75" customHeight="1" x14ac:dyDescent="0.2">
      <c r="A12" s="164" t="s">
        <v>134</v>
      </c>
      <c r="B12" s="179" t="s">
        <v>135</v>
      </c>
      <c r="C12" s="180">
        <v>44669</v>
      </c>
      <c r="D12" s="180"/>
      <c r="E12" s="180"/>
      <c r="F12" s="180"/>
      <c r="H12" s="589" t="s">
        <v>136</v>
      </c>
      <c r="I12" s="589"/>
      <c r="J12" s="589"/>
      <c r="K12" s="589"/>
      <c r="L12" s="177"/>
      <c r="M12" s="177"/>
      <c r="N12" s="590">
        <v>15</v>
      </c>
      <c r="O12" s="590"/>
      <c r="X12" s="177"/>
      <c r="Y12" s="177"/>
      <c r="Z12" s="177"/>
      <c r="AA12" s="177"/>
      <c r="AB12" s="177"/>
      <c r="AC12" s="171"/>
      <c r="AD12" s="171"/>
      <c r="AE12" s="181"/>
      <c r="AF12" s="181"/>
      <c r="AG12" s="181"/>
      <c r="AH12" s="181"/>
      <c r="AI12" s="181"/>
      <c r="AJ12" s="181"/>
      <c r="AK12" s="181"/>
    </row>
    <row r="13" spans="1:37" ht="12.75" customHeight="1" x14ac:dyDescent="0.2">
      <c r="A13" s="164" t="s">
        <v>137</v>
      </c>
      <c r="B13" s="165" t="s">
        <v>133</v>
      </c>
      <c r="C13" s="178">
        <v>8.3333333333333329E-2</v>
      </c>
      <c r="D13" s="347"/>
      <c r="E13" s="178"/>
      <c r="F13" s="178"/>
      <c r="H13" s="589"/>
      <c r="I13" s="589"/>
      <c r="J13" s="589"/>
      <c r="K13" s="589"/>
      <c r="L13" s="177"/>
      <c r="M13" s="177"/>
      <c r="N13" s="590"/>
      <c r="O13" s="590"/>
      <c r="X13" s="177"/>
      <c r="Y13" s="177"/>
      <c r="Z13" s="177"/>
      <c r="AA13" s="177"/>
      <c r="AB13" s="177"/>
      <c r="AC13" s="171"/>
      <c r="AD13" s="171"/>
      <c r="AE13" s="181"/>
      <c r="AF13" s="181"/>
      <c r="AG13" s="181"/>
      <c r="AH13" s="181"/>
      <c r="AI13" s="181"/>
      <c r="AJ13" s="181"/>
      <c r="AK13" s="181"/>
    </row>
    <row r="14" spans="1:37" ht="12.75" customHeight="1" x14ac:dyDescent="0.2">
      <c r="A14" s="164" t="s">
        <v>138</v>
      </c>
      <c r="B14" s="179" t="s">
        <v>135</v>
      </c>
      <c r="C14" s="180">
        <v>44672</v>
      </c>
      <c r="D14" s="180"/>
      <c r="E14" s="180"/>
      <c r="F14" s="180"/>
      <c r="H14" s="589" t="s">
        <v>139</v>
      </c>
      <c r="I14" s="589"/>
      <c r="J14" s="589"/>
      <c r="K14" s="589"/>
      <c r="L14" s="177"/>
      <c r="M14" s="177"/>
      <c r="N14" s="595">
        <v>9.5</v>
      </c>
      <c r="O14" s="595"/>
      <c r="X14" s="177"/>
      <c r="Y14" s="177"/>
      <c r="Z14" s="177"/>
      <c r="AA14" s="177"/>
      <c r="AB14" s="177"/>
      <c r="AC14" s="182"/>
      <c r="AD14" s="182"/>
      <c r="AE14" s="181"/>
      <c r="AF14" s="181"/>
      <c r="AG14" s="181"/>
      <c r="AH14" s="181"/>
      <c r="AI14" s="181"/>
      <c r="AJ14" s="181"/>
      <c r="AK14" s="181"/>
    </row>
    <row r="15" spans="1:37" ht="12.75" customHeight="1" x14ac:dyDescent="0.2">
      <c r="A15" s="164" t="s">
        <v>140</v>
      </c>
      <c r="B15" s="165" t="s">
        <v>141</v>
      </c>
      <c r="C15" s="168">
        <v>1079.9971469404895</v>
      </c>
      <c r="D15" s="168"/>
      <c r="E15" s="168"/>
      <c r="F15" s="176"/>
      <c r="H15" s="589"/>
      <c r="I15" s="589"/>
      <c r="J15" s="589"/>
      <c r="K15" s="589"/>
      <c r="L15" s="177"/>
      <c r="M15" s="177"/>
      <c r="N15" s="595"/>
      <c r="O15" s="595"/>
      <c r="X15" s="177"/>
      <c r="Y15" s="177"/>
      <c r="Z15" s="177"/>
      <c r="AA15" s="177"/>
      <c r="AB15" s="177"/>
      <c r="AC15" s="182"/>
      <c r="AD15" s="182"/>
      <c r="AE15" s="181"/>
      <c r="AF15" s="181"/>
      <c r="AG15" s="181"/>
      <c r="AH15" s="181"/>
      <c r="AI15" s="181"/>
      <c r="AJ15" s="181"/>
      <c r="AK15" s="181"/>
    </row>
    <row r="16" spans="1:37" ht="12.75" customHeight="1" x14ac:dyDescent="0.2">
      <c r="A16" s="164" t="s">
        <v>142</v>
      </c>
      <c r="B16" s="165" t="s">
        <v>143</v>
      </c>
      <c r="C16" s="169">
        <v>87.91</v>
      </c>
      <c r="D16" s="169"/>
      <c r="E16" s="169"/>
      <c r="F16" s="169"/>
      <c r="H16" s="589"/>
      <c r="I16" s="589"/>
      <c r="J16" s="589"/>
      <c r="K16" s="589"/>
      <c r="L16" s="177"/>
      <c r="M16" s="177"/>
      <c r="N16" s="595"/>
      <c r="O16" s="595"/>
      <c r="X16" s="177"/>
      <c r="Y16" s="177"/>
      <c r="Z16" s="177"/>
      <c r="AA16" s="177"/>
      <c r="AB16" s="177"/>
      <c r="AC16" s="171"/>
      <c r="AD16" s="171"/>
      <c r="AE16" s="171"/>
      <c r="AF16" s="171"/>
      <c r="AG16" s="171"/>
      <c r="AH16" s="171"/>
      <c r="AI16" s="171"/>
      <c r="AJ16" s="171"/>
      <c r="AK16" s="171"/>
    </row>
    <row r="17" spans="1:37" ht="12.75" customHeight="1" x14ac:dyDescent="0.2">
      <c r="A17" s="164" t="s">
        <v>144</v>
      </c>
      <c r="B17" s="165" t="s">
        <v>143</v>
      </c>
      <c r="C17" s="169">
        <v>93.08</v>
      </c>
      <c r="D17" s="169"/>
      <c r="E17" s="169"/>
      <c r="F17" s="169"/>
      <c r="H17" s="589" t="s">
        <v>145</v>
      </c>
      <c r="I17" s="589"/>
      <c r="J17" s="589"/>
      <c r="K17" s="589"/>
      <c r="L17" s="177"/>
      <c r="M17" s="177"/>
      <c r="N17" s="590">
        <v>9.5</v>
      </c>
      <c r="O17" s="590"/>
      <c r="X17" s="177"/>
      <c r="Y17" s="177"/>
      <c r="Z17" s="177"/>
      <c r="AA17" s="177"/>
      <c r="AB17" s="177"/>
      <c r="AC17" s="171"/>
      <c r="AD17" s="171"/>
      <c r="AE17" s="167"/>
      <c r="AF17" s="167"/>
      <c r="AG17" s="167"/>
      <c r="AH17" s="167"/>
      <c r="AI17" s="167"/>
      <c r="AJ17" s="167"/>
      <c r="AK17" s="167"/>
    </row>
    <row r="18" spans="1:37" ht="12.75" customHeight="1" x14ac:dyDescent="0.2">
      <c r="A18" s="591" t="s">
        <v>146</v>
      </c>
      <c r="B18" s="592"/>
      <c r="C18" s="183"/>
      <c r="D18" s="183"/>
      <c r="E18" s="183"/>
      <c r="F18" s="183"/>
      <c r="H18" s="589"/>
      <c r="I18" s="589"/>
      <c r="J18" s="589"/>
      <c r="K18" s="589"/>
      <c r="L18" s="177"/>
      <c r="M18" s="177"/>
      <c r="N18" s="590"/>
      <c r="O18" s="590"/>
      <c r="X18" s="177"/>
      <c r="Y18" s="177"/>
      <c r="Z18" s="177"/>
      <c r="AA18" s="177"/>
      <c r="AB18" s="177"/>
      <c r="AC18" s="171"/>
      <c r="AD18" s="171"/>
      <c r="AE18" s="167"/>
      <c r="AF18" s="167"/>
      <c r="AG18" s="167"/>
      <c r="AH18" s="167"/>
      <c r="AI18" s="167"/>
      <c r="AJ18" s="167"/>
      <c r="AK18" s="167"/>
    </row>
    <row r="19" spans="1:37" ht="14.25" customHeight="1" x14ac:dyDescent="0.2">
      <c r="A19" s="184" t="s">
        <v>147</v>
      </c>
      <c r="B19" s="165"/>
      <c r="C19" s="392" t="s">
        <v>484</v>
      </c>
      <c r="D19" s="185"/>
      <c r="E19" s="185"/>
      <c r="F19" s="186"/>
      <c r="H19" s="589" t="s">
        <v>148</v>
      </c>
      <c r="I19" s="589"/>
      <c r="J19" s="589"/>
      <c r="K19" s="589"/>
      <c r="L19" s="177"/>
      <c r="M19" s="177"/>
      <c r="N19" s="590">
        <v>1200</v>
      </c>
      <c r="O19" s="590"/>
      <c r="X19" s="177"/>
      <c r="Y19" s="177"/>
      <c r="Z19" s="177"/>
      <c r="AA19" s="177"/>
      <c r="AB19" s="177"/>
    </row>
    <row r="20" spans="1:37" ht="12.75" customHeight="1" x14ac:dyDescent="0.2">
      <c r="A20" s="164" t="s">
        <v>149</v>
      </c>
      <c r="B20" s="165" t="s">
        <v>150</v>
      </c>
      <c r="C20" s="169">
        <v>1.1200000000000001</v>
      </c>
      <c r="D20" s="169"/>
      <c r="E20" s="169"/>
      <c r="F20" s="188"/>
      <c r="H20" s="589"/>
      <c r="I20" s="589"/>
      <c r="J20" s="589"/>
      <c r="K20" s="589"/>
      <c r="L20" s="177"/>
      <c r="M20" s="177"/>
      <c r="N20" s="590"/>
      <c r="O20" s="590"/>
      <c r="X20" s="177"/>
      <c r="Y20" s="177"/>
      <c r="Z20" s="177"/>
      <c r="AA20" s="177"/>
      <c r="AB20" s="177"/>
    </row>
    <row r="21" spans="1:37" ht="12.75" customHeight="1" x14ac:dyDescent="0.2">
      <c r="A21" s="164" t="s">
        <v>151</v>
      </c>
      <c r="B21" s="165" t="s">
        <v>152</v>
      </c>
      <c r="C21" s="189">
        <v>57</v>
      </c>
      <c r="D21" s="189"/>
      <c r="E21" s="189"/>
      <c r="F21" s="187"/>
      <c r="H21" s="589"/>
      <c r="I21" s="589"/>
      <c r="J21" s="589"/>
      <c r="K21" s="589"/>
      <c r="L21" s="177"/>
      <c r="M21" s="177"/>
      <c r="N21" s="593"/>
      <c r="O21" s="593"/>
      <c r="P21" s="594" t="s">
        <v>153</v>
      </c>
      <c r="Q21" s="594"/>
      <c r="R21" s="594"/>
      <c r="S21" s="594"/>
      <c r="T21" s="594"/>
      <c r="U21" s="594"/>
      <c r="V21" s="594"/>
      <c r="X21" s="177"/>
      <c r="Y21" s="177"/>
      <c r="Z21" s="177"/>
      <c r="AA21" s="177"/>
      <c r="AB21" s="177"/>
    </row>
    <row r="22" spans="1:37" ht="10.5" customHeight="1" x14ac:dyDescent="0.2">
      <c r="A22" s="164" t="s">
        <v>154</v>
      </c>
      <c r="B22" s="165"/>
      <c r="C22" s="391" t="s">
        <v>499</v>
      </c>
      <c r="D22" s="189"/>
      <c r="E22" s="189"/>
      <c r="F22" s="189"/>
      <c r="H22" s="589"/>
      <c r="I22" s="589"/>
      <c r="J22" s="589"/>
      <c r="K22" s="589"/>
      <c r="L22" s="177"/>
      <c r="M22" s="177"/>
      <c r="N22" s="593"/>
      <c r="O22" s="593"/>
      <c r="P22" s="594"/>
      <c r="Q22" s="594"/>
      <c r="R22" s="594"/>
      <c r="S22" s="594"/>
      <c r="T22" s="594"/>
      <c r="U22" s="594"/>
      <c r="V22" s="594"/>
      <c r="X22" s="177"/>
      <c r="Y22" s="177"/>
      <c r="Z22" s="177"/>
      <c r="AA22" s="177"/>
      <c r="AB22" s="177"/>
    </row>
    <row r="23" spans="1:37" ht="12.75" customHeight="1" x14ac:dyDescent="0.2">
      <c r="A23" s="164" t="s">
        <v>155</v>
      </c>
      <c r="B23" s="165" t="s">
        <v>156</v>
      </c>
      <c r="C23" s="187" t="s">
        <v>500</v>
      </c>
      <c r="D23" s="187"/>
      <c r="E23" s="187"/>
      <c r="F23" s="187"/>
      <c r="H23" s="589" t="s">
        <v>157</v>
      </c>
      <c r="I23" s="589"/>
      <c r="J23" s="589"/>
      <c r="K23" s="589"/>
      <c r="L23" s="190"/>
      <c r="M23" s="190"/>
      <c r="N23" s="598">
        <f>N10</f>
        <v>28</v>
      </c>
      <c r="O23" s="598"/>
      <c r="P23" s="597" t="s">
        <v>158</v>
      </c>
      <c r="Q23" s="597"/>
      <c r="R23" s="597"/>
      <c r="S23" s="597"/>
      <c r="T23" s="597"/>
      <c r="U23" s="597"/>
      <c r="V23" s="597"/>
      <c r="X23" s="177"/>
      <c r="Y23" s="177"/>
      <c r="Z23" s="177"/>
      <c r="AA23" s="177"/>
      <c r="AB23" s="177"/>
    </row>
    <row r="24" spans="1:37" ht="12.75" customHeight="1" x14ac:dyDescent="0.2">
      <c r="A24" s="164" t="s">
        <v>159</v>
      </c>
      <c r="B24" s="165" t="s">
        <v>160</v>
      </c>
      <c r="C24" s="191">
        <v>22000</v>
      </c>
      <c r="D24" s="191"/>
      <c r="E24" s="191"/>
      <c r="F24" s="191"/>
      <c r="H24" s="589"/>
      <c r="I24" s="589"/>
      <c r="J24" s="589"/>
      <c r="K24" s="589"/>
      <c r="L24" s="190"/>
      <c r="M24" s="190"/>
      <c r="N24" s="598"/>
      <c r="O24" s="598"/>
      <c r="P24" s="597"/>
      <c r="Q24" s="597"/>
      <c r="R24" s="597"/>
      <c r="S24" s="597"/>
      <c r="T24" s="597"/>
      <c r="U24" s="597"/>
      <c r="V24" s="597"/>
      <c r="X24" s="177"/>
      <c r="Y24" s="177"/>
      <c r="Z24" s="177"/>
      <c r="AA24" s="177"/>
      <c r="AB24" s="177"/>
    </row>
    <row r="25" spans="1:37" ht="12.75" customHeight="1" x14ac:dyDescent="0.2">
      <c r="A25" s="164" t="s">
        <v>161</v>
      </c>
      <c r="B25" s="165"/>
      <c r="C25" s="168">
        <v>11</v>
      </c>
      <c r="D25" s="168"/>
      <c r="E25" s="168"/>
      <c r="F25" s="189"/>
      <c r="H25" s="589" t="s">
        <v>162</v>
      </c>
      <c r="I25" s="589"/>
      <c r="J25" s="589"/>
      <c r="K25" s="589"/>
      <c r="L25" s="190"/>
      <c r="M25" s="190"/>
      <c r="N25" s="598">
        <f>N12+N10</f>
        <v>43</v>
      </c>
      <c r="O25" s="598"/>
      <c r="P25" s="597" t="s">
        <v>163</v>
      </c>
      <c r="Q25" s="597"/>
      <c r="R25" s="597"/>
      <c r="S25" s="597"/>
      <c r="T25" s="597"/>
      <c r="U25" s="597"/>
      <c r="V25" s="597"/>
      <c r="X25" s="177"/>
      <c r="Y25" s="177"/>
      <c r="Z25" s="177"/>
      <c r="AA25" s="177"/>
      <c r="AB25" s="177"/>
    </row>
    <row r="26" spans="1:37" ht="13.5" customHeight="1" x14ac:dyDescent="0.2">
      <c r="A26" s="164" t="s">
        <v>448</v>
      </c>
      <c r="B26" s="165" t="s">
        <v>156</v>
      </c>
      <c r="C26" s="391" t="s">
        <v>501</v>
      </c>
      <c r="D26" s="189"/>
      <c r="E26" s="189"/>
      <c r="F26" s="189"/>
      <c r="H26" s="589"/>
      <c r="I26" s="589"/>
      <c r="J26" s="589"/>
      <c r="K26" s="589"/>
      <c r="L26" s="190"/>
      <c r="M26" s="190"/>
      <c r="N26" s="598"/>
      <c r="O26" s="598"/>
      <c r="P26" s="597"/>
      <c r="Q26" s="597"/>
      <c r="R26" s="597"/>
      <c r="S26" s="597"/>
      <c r="T26" s="597"/>
      <c r="U26" s="597"/>
      <c r="V26" s="597"/>
      <c r="X26" s="177"/>
      <c r="Y26" s="177"/>
      <c r="Z26" s="177"/>
      <c r="AA26" s="177"/>
      <c r="AB26" s="177"/>
    </row>
    <row r="27" spans="1:37" ht="12.75" customHeight="1" x14ac:dyDescent="0.2">
      <c r="A27" s="164" t="s">
        <v>164</v>
      </c>
      <c r="B27" s="165" t="s">
        <v>432</v>
      </c>
      <c r="C27" s="390" t="s">
        <v>469</v>
      </c>
      <c r="D27" s="192"/>
      <c r="E27" s="192"/>
      <c r="F27" s="193"/>
      <c r="H27" s="589" t="s">
        <v>165</v>
      </c>
      <c r="I27" s="589"/>
      <c r="J27" s="589"/>
      <c r="K27" s="589"/>
      <c r="L27" s="190"/>
      <c r="M27" s="190"/>
      <c r="N27" s="596">
        <f>0.5*(LOG(N25/N23))</f>
        <v>9.3155212118683661E-2</v>
      </c>
      <c r="O27" s="596"/>
      <c r="P27" s="597" t="s">
        <v>166</v>
      </c>
      <c r="Q27" s="597"/>
      <c r="R27" s="597"/>
      <c r="S27" s="597"/>
      <c r="T27" s="597"/>
      <c r="U27" s="597"/>
      <c r="V27" s="597"/>
      <c r="X27" s="177"/>
      <c r="Y27" s="177"/>
      <c r="Z27" s="177"/>
      <c r="AA27" s="177"/>
      <c r="AB27" s="177"/>
    </row>
    <row r="28" spans="1:37" ht="12" customHeight="1" x14ac:dyDescent="0.2">
      <c r="A28" s="164" t="s">
        <v>167</v>
      </c>
      <c r="B28" s="165" t="s">
        <v>432</v>
      </c>
      <c r="C28" s="390" t="s">
        <v>470</v>
      </c>
      <c r="D28" s="192"/>
      <c r="E28" s="192"/>
      <c r="F28" s="193"/>
      <c r="H28" s="589"/>
      <c r="I28" s="589"/>
      <c r="J28" s="589"/>
      <c r="K28" s="589"/>
      <c r="L28" s="190"/>
      <c r="M28" s="190"/>
      <c r="N28" s="596"/>
      <c r="O28" s="596"/>
      <c r="P28" s="597"/>
      <c r="Q28" s="597"/>
      <c r="R28" s="597"/>
      <c r="S28" s="597"/>
      <c r="T28" s="597"/>
      <c r="U28" s="597"/>
      <c r="V28" s="597"/>
      <c r="X28" s="177"/>
      <c r="Y28" s="177"/>
      <c r="Z28" s="177"/>
      <c r="AA28" s="177"/>
      <c r="AB28" s="177"/>
    </row>
    <row r="29" spans="1:37" ht="12.75" customHeight="1" x14ac:dyDescent="0.2">
      <c r="A29" s="164" t="s">
        <v>168</v>
      </c>
      <c r="B29" s="165" t="s">
        <v>432</v>
      </c>
      <c r="C29" s="390" t="s">
        <v>471</v>
      </c>
      <c r="D29" s="192"/>
      <c r="E29" s="192"/>
      <c r="F29" s="193"/>
      <c r="H29" s="589" t="s">
        <v>169</v>
      </c>
      <c r="I29" s="589"/>
      <c r="J29" s="589"/>
      <c r="K29" s="589"/>
      <c r="L29" s="190"/>
      <c r="M29" s="190"/>
      <c r="N29" s="596">
        <f>5.11*N25/(511^N27)</f>
        <v>122.9096076296685</v>
      </c>
      <c r="O29" s="596"/>
      <c r="P29" s="597" t="s">
        <v>170</v>
      </c>
      <c r="Q29" s="597"/>
      <c r="R29" s="597"/>
      <c r="S29" s="597"/>
      <c r="T29" s="597"/>
      <c r="U29" s="597"/>
      <c r="V29" s="597"/>
      <c r="X29" s="177"/>
      <c r="Y29" s="177"/>
      <c r="Z29" s="177"/>
      <c r="AA29" s="177"/>
      <c r="AB29" s="177"/>
    </row>
    <row r="30" spans="1:37" ht="12.75" customHeight="1" x14ac:dyDescent="0.2">
      <c r="A30" s="164" t="s">
        <v>171</v>
      </c>
      <c r="B30" s="165" t="s">
        <v>172</v>
      </c>
      <c r="C30" s="191">
        <v>32</v>
      </c>
      <c r="D30" s="168"/>
      <c r="E30" s="168"/>
      <c r="F30" s="187"/>
      <c r="H30" s="589"/>
      <c r="I30" s="589"/>
      <c r="J30" s="589"/>
      <c r="K30" s="589"/>
      <c r="L30" s="190"/>
      <c r="M30" s="190"/>
      <c r="N30" s="596"/>
      <c r="O30" s="596"/>
      <c r="P30" s="597"/>
      <c r="Q30" s="597"/>
      <c r="R30" s="597"/>
      <c r="S30" s="597"/>
      <c r="T30" s="597"/>
      <c r="U30" s="597"/>
      <c r="V30" s="597"/>
      <c r="X30" s="177"/>
      <c r="Y30" s="177"/>
      <c r="Z30" s="177"/>
      <c r="AA30" s="177"/>
      <c r="AB30" s="177"/>
    </row>
    <row r="31" spans="1:37" ht="12.75" customHeight="1" x14ac:dyDescent="0.2">
      <c r="A31" s="164" t="s">
        <v>173</v>
      </c>
      <c r="B31" s="165" t="s">
        <v>433</v>
      </c>
      <c r="C31" s="170" t="s">
        <v>464</v>
      </c>
      <c r="D31" s="170"/>
      <c r="E31" s="170"/>
      <c r="F31" s="193"/>
      <c r="H31" s="599" t="s">
        <v>174</v>
      </c>
      <c r="I31" s="599"/>
      <c r="J31" s="599"/>
      <c r="K31" s="599"/>
      <c r="L31" s="194"/>
      <c r="M31" s="194"/>
      <c r="N31" s="600" t="e">
        <f>(24.5*N19)/((#REF!^2)-(N14^2))</f>
        <v>#REF!</v>
      </c>
      <c r="O31" s="600"/>
      <c r="P31" s="601" t="s">
        <v>175</v>
      </c>
      <c r="Q31" s="597"/>
      <c r="R31" s="597"/>
      <c r="S31" s="597"/>
      <c r="T31" s="597"/>
      <c r="U31" s="597"/>
      <c r="V31" s="597"/>
      <c r="X31" s="177"/>
      <c r="Y31" s="177"/>
      <c r="Z31" s="177"/>
      <c r="AA31" s="177"/>
      <c r="AB31" s="177"/>
    </row>
    <row r="32" spans="1:37" ht="12.75" customHeight="1" x14ac:dyDescent="0.2">
      <c r="A32" s="164" t="s">
        <v>176</v>
      </c>
      <c r="B32" s="165" t="s">
        <v>156</v>
      </c>
      <c r="C32" s="189" t="s">
        <v>430</v>
      </c>
      <c r="D32" s="189"/>
      <c r="E32" s="189"/>
      <c r="F32" s="187"/>
      <c r="H32" s="599"/>
      <c r="I32" s="599"/>
      <c r="J32" s="599"/>
      <c r="K32" s="599"/>
      <c r="L32" s="194"/>
      <c r="M32" s="194"/>
      <c r="N32" s="600"/>
      <c r="O32" s="600"/>
      <c r="P32" s="597"/>
      <c r="Q32" s="597"/>
      <c r="R32" s="597"/>
      <c r="S32" s="597"/>
      <c r="T32" s="597"/>
      <c r="U32" s="597"/>
      <c r="V32" s="597"/>
      <c r="X32" s="177"/>
      <c r="Y32" s="177"/>
      <c r="Z32" s="177"/>
      <c r="AA32" s="177"/>
      <c r="AB32" s="177"/>
    </row>
    <row r="33" spans="1:37" s="345" customFormat="1" ht="12.75" customHeight="1" x14ac:dyDescent="0.2">
      <c r="A33" s="602" t="s">
        <v>177</v>
      </c>
      <c r="B33" s="602"/>
      <c r="C33" s="185" t="s">
        <v>502</v>
      </c>
      <c r="D33" s="185"/>
      <c r="E33" s="185"/>
      <c r="F33" s="246"/>
      <c r="H33" s="599" t="s">
        <v>178</v>
      </c>
      <c r="I33" s="599"/>
      <c r="J33" s="599"/>
      <c r="K33" s="599"/>
      <c r="L33" s="603">
        <f>(3470-(1370*N27))*100*N29*(((2*N27+1)/(3*N27))^N27)</f>
        <v>47003551.088776775</v>
      </c>
      <c r="M33" s="603" t="e">
        <f>928*N17*(#REF!-N14)*((144/(#REF!-N14))^(1-N27))</f>
        <v>#REF!</v>
      </c>
      <c r="N33" s="600" t="e">
        <f>60*(L33/M33)^(1/(2-N27))</f>
        <v>#REF!</v>
      </c>
      <c r="O33" s="600"/>
      <c r="P33" s="604" t="s">
        <v>179</v>
      </c>
      <c r="Q33" s="604"/>
      <c r="R33" s="604"/>
      <c r="S33" s="605" t="s">
        <v>180</v>
      </c>
      <c r="T33" s="606"/>
      <c r="U33" s="606"/>
      <c r="V33" s="606"/>
      <c r="W33" s="606"/>
      <c r="X33" s="606"/>
      <c r="Y33" s="606"/>
      <c r="Z33" s="607"/>
      <c r="AA33" s="616" t="s">
        <v>181</v>
      </c>
      <c r="AB33" s="616"/>
    </row>
    <row r="34" spans="1:37" ht="12.75" customHeight="1" x14ac:dyDescent="0.2">
      <c r="A34" s="617" t="s">
        <v>182</v>
      </c>
      <c r="B34" s="617"/>
      <c r="C34" s="185" t="s">
        <v>503</v>
      </c>
      <c r="D34" s="185"/>
      <c r="E34" s="185"/>
      <c r="F34" s="186"/>
      <c r="H34" s="599"/>
      <c r="I34" s="599"/>
      <c r="J34" s="599"/>
      <c r="K34" s="599"/>
      <c r="L34" s="603"/>
      <c r="M34" s="603"/>
      <c r="N34" s="600"/>
      <c r="O34" s="600"/>
      <c r="P34" s="604"/>
      <c r="Q34" s="604"/>
      <c r="R34" s="604"/>
      <c r="S34" s="608"/>
      <c r="T34" s="609"/>
      <c r="U34" s="609"/>
      <c r="V34" s="609"/>
      <c r="W34" s="609"/>
      <c r="X34" s="609"/>
      <c r="Y34" s="609"/>
      <c r="Z34" s="610"/>
      <c r="AA34" s="616"/>
      <c r="AB34" s="616"/>
    </row>
    <row r="35" spans="1:37" x14ac:dyDescent="0.2">
      <c r="A35" s="195"/>
      <c r="B35" s="148"/>
      <c r="C35" s="148"/>
      <c r="G35" s="196"/>
      <c r="H35" s="589"/>
      <c r="I35" s="589"/>
      <c r="J35" s="589"/>
      <c r="K35" s="589"/>
      <c r="L35" s="177"/>
      <c r="M35" s="177"/>
      <c r="N35" s="593"/>
      <c r="O35" s="593"/>
      <c r="P35" s="604"/>
      <c r="Q35" s="604"/>
      <c r="R35" s="604"/>
      <c r="S35" s="618" t="s">
        <v>183</v>
      </c>
      <c r="T35" s="619"/>
      <c r="U35" s="619"/>
      <c r="V35" s="619"/>
      <c r="W35" s="619"/>
      <c r="X35" s="619"/>
      <c r="Y35" s="619"/>
      <c r="Z35" s="620"/>
      <c r="AA35" s="177"/>
      <c r="AB35" s="177"/>
    </row>
    <row r="36" spans="1:37" ht="31.5" customHeight="1" x14ac:dyDescent="0.2">
      <c r="A36" s="621" t="s">
        <v>184</v>
      </c>
      <c r="B36" s="622"/>
      <c r="C36" s="622"/>
      <c r="D36" s="622"/>
      <c r="E36" s="622"/>
      <c r="F36" s="622"/>
      <c r="H36" s="589"/>
      <c r="I36" s="589"/>
      <c r="J36" s="589"/>
      <c r="K36" s="589"/>
      <c r="L36" s="177"/>
      <c r="M36" s="177"/>
      <c r="N36" s="593"/>
      <c r="O36" s="593"/>
      <c r="P36" s="604"/>
      <c r="Q36" s="604"/>
      <c r="R36" s="604"/>
      <c r="S36" s="605"/>
      <c r="T36" s="606"/>
      <c r="U36" s="606"/>
      <c r="V36" s="606"/>
      <c r="W36" s="606"/>
      <c r="X36" s="606"/>
      <c r="Y36" s="606"/>
      <c r="Z36" s="607"/>
      <c r="AA36" s="177"/>
      <c r="AB36" s="177"/>
    </row>
    <row r="37" spans="1:37" ht="20.25" customHeight="1" x14ac:dyDescent="0.2">
      <c r="A37" s="611"/>
      <c r="B37" s="612"/>
      <c r="C37" s="197"/>
      <c r="D37" s="197"/>
      <c r="E37" s="197"/>
      <c r="F37" s="197"/>
      <c r="H37" s="589"/>
      <c r="I37" s="589"/>
      <c r="J37" s="589"/>
      <c r="K37" s="589"/>
      <c r="L37" s="177"/>
      <c r="M37" s="177"/>
      <c r="N37" s="593"/>
      <c r="O37" s="593"/>
      <c r="P37" s="593"/>
      <c r="Q37" s="593"/>
      <c r="R37" s="593"/>
      <c r="S37" s="593"/>
      <c r="T37" s="593"/>
      <c r="U37" s="593"/>
      <c r="V37" s="593"/>
      <c r="X37" s="177"/>
      <c r="Y37" s="177"/>
      <c r="Z37" s="177"/>
      <c r="AA37" s="177"/>
      <c r="AB37" s="177"/>
    </row>
    <row r="38" spans="1:37" ht="20.25" customHeight="1" x14ac:dyDescent="0.2">
      <c r="A38" s="611" t="s">
        <v>185</v>
      </c>
      <c r="B38" s="612"/>
      <c r="C38" s="198"/>
      <c r="D38" s="198"/>
      <c r="E38" s="198"/>
      <c r="F38" s="198"/>
      <c r="H38" s="589"/>
      <c r="I38" s="589"/>
      <c r="J38" s="589"/>
      <c r="K38" s="589"/>
      <c r="L38" s="177"/>
      <c r="M38" s="177"/>
      <c r="N38" s="593"/>
      <c r="O38" s="593"/>
      <c r="P38" s="593"/>
      <c r="Q38" s="593"/>
      <c r="R38" s="593"/>
      <c r="S38" s="593"/>
      <c r="T38" s="593"/>
      <c r="U38" s="593"/>
      <c r="V38" s="593"/>
      <c r="X38" s="177"/>
      <c r="Y38" s="177"/>
      <c r="Z38" s="177"/>
      <c r="AA38" s="177"/>
      <c r="AB38" s="177"/>
    </row>
    <row r="39" spans="1:37" ht="13.5" customHeight="1" x14ac:dyDescent="0.2">
      <c r="A39" s="199" t="s">
        <v>186</v>
      </c>
      <c r="B39" s="200" t="s">
        <v>187</v>
      </c>
      <c r="C39" s="201"/>
      <c r="D39" s="166"/>
      <c r="E39" s="166"/>
      <c r="F39" s="166"/>
      <c r="H39" s="202"/>
      <c r="I39" s="202"/>
      <c r="X39" s="172"/>
      <c r="Y39" s="172"/>
      <c r="Z39" s="172"/>
      <c r="AA39" s="172"/>
      <c r="AB39" s="172"/>
    </row>
    <row r="40" spans="1:37" ht="14.25" customHeight="1" x14ac:dyDescent="0.2">
      <c r="A40" s="199" t="s">
        <v>188</v>
      </c>
      <c r="B40" s="200"/>
      <c r="C40" s="201"/>
      <c r="D40" s="166"/>
      <c r="E40" s="166"/>
      <c r="F40" s="166"/>
      <c r="H40" s="202"/>
      <c r="I40" s="202"/>
      <c r="AC40" s="167"/>
      <c r="AD40" s="167"/>
      <c r="AE40" s="167"/>
      <c r="AF40" s="167"/>
      <c r="AG40" s="167"/>
      <c r="AH40" s="167"/>
      <c r="AI40" s="167"/>
      <c r="AJ40" s="167"/>
      <c r="AK40" s="167"/>
    </row>
    <row r="41" spans="1:37" ht="14.25" customHeight="1" x14ac:dyDescent="0.2">
      <c r="A41" s="199" t="s">
        <v>189</v>
      </c>
      <c r="B41" s="200" t="s">
        <v>190</v>
      </c>
      <c r="C41" s="203"/>
      <c r="D41" s="188"/>
      <c r="E41" s="188"/>
      <c r="F41" s="188"/>
      <c r="AC41" s="171"/>
      <c r="AD41" s="171"/>
      <c r="AE41" s="167"/>
      <c r="AF41" s="167"/>
      <c r="AG41" s="167"/>
      <c r="AH41" s="167"/>
      <c r="AI41" s="167"/>
      <c r="AJ41" s="167"/>
      <c r="AK41" s="167"/>
    </row>
    <row r="42" spans="1:37" ht="14.25" customHeight="1" x14ac:dyDescent="0.2">
      <c r="A42" s="199" t="s">
        <v>191</v>
      </c>
      <c r="B42" s="200"/>
      <c r="C42" s="201"/>
      <c r="D42" s="166"/>
      <c r="E42" s="166"/>
      <c r="F42" s="166"/>
      <c r="AC42" s="171"/>
      <c r="AD42" s="171"/>
      <c r="AE42" s="167"/>
      <c r="AF42" s="167"/>
      <c r="AG42" s="167"/>
      <c r="AH42" s="167"/>
      <c r="AI42" s="167"/>
      <c r="AJ42" s="167"/>
      <c r="AK42" s="167"/>
    </row>
    <row r="43" spans="1:37" ht="14.25" customHeight="1" x14ac:dyDescent="0.2">
      <c r="A43" s="199" t="s">
        <v>192</v>
      </c>
      <c r="B43" s="200" t="s">
        <v>193</v>
      </c>
      <c r="C43" s="204"/>
      <c r="D43" s="176"/>
      <c r="E43" s="176"/>
      <c r="F43" s="176"/>
      <c r="AC43" s="171"/>
      <c r="AD43" s="171"/>
      <c r="AE43" s="167"/>
      <c r="AF43" s="167"/>
      <c r="AG43" s="167"/>
      <c r="AH43" s="167"/>
      <c r="AI43" s="167"/>
      <c r="AJ43" s="167"/>
      <c r="AK43" s="167"/>
    </row>
    <row r="44" spans="1:37" ht="14.25" customHeight="1" x14ac:dyDescent="0.2">
      <c r="A44" s="199" t="s">
        <v>194</v>
      </c>
      <c r="B44" s="200" t="s">
        <v>193</v>
      </c>
      <c r="C44" s="204"/>
      <c r="D44" s="176"/>
      <c r="E44" s="176"/>
      <c r="F44" s="176"/>
      <c r="AC44" s="171"/>
      <c r="AD44" s="171"/>
      <c r="AE44" s="167"/>
      <c r="AF44" s="167"/>
      <c r="AG44" s="167"/>
      <c r="AH44" s="167"/>
      <c r="AI44" s="167"/>
      <c r="AJ44" s="167"/>
      <c r="AK44" s="167"/>
    </row>
    <row r="45" spans="1:37" ht="14.25" customHeight="1" x14ac:dyDescent="0.2">
      <c r="A45" s="199" t="s">
        <v>195</v>
      </c>
      <c r="B45" s="200" t="s">
        <v>193</v>
      </c>
      <c r="C45" s="204"/>
      <c r="D45" s="176"/>
      <c r="E45" s="176"/>
      <c r="F45" s="176"/>
      <c r="AC45" s="171"/>
      <c r="AD45" s="171"/>
      <c r="AE45" s="167"/>
      <c r="AF45" s="167"/>
      <c r="AG45" s="167"/>
      <c r="AH45" s="167"/>
      <c r="AI45" s="167"/>
      <c r="AJ45" s="167"/>
      <c r="AK45" s="167"/>
    </row>
    <row r="46" spans="1:37" ht="14.25" customHeight="1" x14ac:dyDescent="0.2">
      <c r="A46" s="199" t="s">
        <v>196</v>
      </c>
      <c r="B46" s="200" t="s">
        <v>193</v>
      </c>
      <c r="C46" s="204"/>
      <c r="D46" s="176"/>
      <c r="E46" s="176"/>
      <c r="F46" s="176"/>
      <c r="AC46" s="171"/>
      <c r="AD46" s="171"/>
      <c r="AE46" s="167"/>
      <c r="AF46" s="167"/>
      <c r="AG46" s="167"/>
      <c r="AH46" s="167"/>
      <c r="AI46" s="167"/>
      <c r="AJ46" s="167"/>
      <c r="AK46" s="167"/>
    </row>
    <row r="47" spans="1:37" ht="14.25" customHeight="1" x14ac:dyDescent="0.2">
      <c r="A47" s="199" t="s">
        <v>197</v>
      </c>
      <c r="B47" s="200" t="s">
        <v>193</v>
      </c>
      <c r="C47" s="205"/>
      <c r="D47" s="178"/>
      <c r="E47" s="178"/>
      <c r="F47" s="178"/>
      <c r="AC47" s="171"/>
      <c r="AD47" s="171"/>
      <c r="AE47" s="167"/>
      <c r="AF47" s="167"/>
      <c r="AG47" s="167"/>
      <c r="AH47" s="167"/>
      <c r="AI47" s="167"/>
      <c r="AJ47" s="167"/>
      <c r="AK47" s="167"/>
    </row>
    <row r="48" spans="1:37" ht="14.25" customHeight="1" x14ac:dyDescent="0.2">
      <c r="A48" s="199" t="s">
        <v>198</v>
      </c>
      <c r="B48" s="206" t="s">
        <v>199</v>
      </c>
      <c r="C48" s="207"/>
      <c r="D48" s="208"/>
      <c r="E48" s="208"/>
      <c r="F48" s="208"/>
      <c r="AC48" s="171"/>
      <c r="AD48" s="171"/>
      <c r="AE48" s="181"/>
      <c r="AF48" s="181"/>
      <c r="AG48" s="181"/>
      <c r="AH48" s="181"/>
      <c r="AI48" s="181"/>
      <c r="AJ48" s="181"/>
      <c r="AK48" s="181"/>
    </row>
    <row r="49" spans="1:37" ht="14.25" customHeight="1" x14ac:dyDescent="0.2">
      <c r="A49" s="199" t="s">
        <v>200</v>
      </c>
      <c r="B49" s="200" t="s">
        <v>201</v>
      </c>
      <c r="C49" s="210"/>
      <c r="D49" s="178"/>
      <c r="E49" s="178"/>
      <c r="F49" s="178"/>
      <c r="AC49" s="171"/>
      <c r="AD49" s="171"/>
      <c r="AE49" s="181"/>
      <c r="AF49" s="181"/>
      <c r="AG49" s="181"/>
      <c r="AH49" s="181"/>
      <c r="AI49" s="181"/>
      <c r="AJ49" s="181"/>
      <c r="AK49" s="181"/>
    </row>
    <row r="50" spans="1:37" ht="14.25" customHeight="1" x14ac:dyDescent="0.2">
      <c r="A50" s="199" t="s">
        <v>202</v>
      </c>
      <c r="B50" s="206" t="s">
        <v>199</v>
      </c>
      <c r="C50" s="207"/>
      <c r="D50" s="208"/>
      <c r="E50" s="208"/>
      <c r="F50" s="208"/>
      <c r="AC50" s="182"/>
      <c r="AD50" s="182"/>
      <c r="AE50" s="181"/>
      <c r="AF50" s="181"/>
      <c r="AG50" s="181"/>
      <c r="AH50" s="181"/>
      <c r="AI50" s="181"/>
      <c r="AJ50" s="181"/>
      <c r="AK50" s="181"/>
    </row>
    <row r="51" spans="1:37" ht="14.25" customHeight="1" x14ac:dyDescent="0.2">
      <c r="A51" s="199" t="s">
        <v>203</v>
      </c>
      <c r="B51" s="200" t="s">
        <v>204</v>
      </c>
      <c r="C51" s="204"/>
      <c r="D51" s="176"/>
      <c r="E51" s="176"/>
      <c r="F51" s="176"/>
      <c r="AC51" s="182"/>
      <c r="AD51" s="182"/>
      <c r="AE51" s="181"/>
      <c r="AF51" s="181"/>
      <c r="AG51" s="181"/>
      <c r="AH51" s="181"/>
      <c r="AI51" s="181"/>
      <c r="AJ51" s="181"/>
      <c r="AK51" s="181"/>
    </row>
    <row r="52" spans="1:37" ht="14.25" customHeight="1" x14ac:dyDescent="0.2">
      <c r="A52" s="199" t="s">
        <v>128</v>
      </c>
      <c r="B52" s="200" t="s">
        <v>205</v>
      </c>
      <c r="C52" s="201"/>
      <c r="D52" s="166"/>
      <c r="E52" s="166"/>
      <c r="F52" s="166"/>
      <c r="AC52" s="171"/>
      <c r="AD52" s="171"/>
      <c r="AE52" s="211"/>
      <c r="AF52" s="181"/>
      <c r="AG52" s="181"/>
      <c r="AH52" s="181"/>
      <c r="AI52" s="181"/>
      <c r="AJ52" s="181"/>
      <c r="AK52" s="181"/>
    </row>
    <row r="53" spans="1:37" ht="14.25" customHeight="1" x14ac:dyDescent="0.2">
      <c r="A53" s="199" t="s">
        <v>206</v>
      </c>
      <c r="B53" s="200" t="s">
        <v>207</v>
      </c>
      <c r="C53" s="212"/>
      <c r="D53" s="169"/>
      <c r="E53" s="169"/>
      <c r="F53" s="169"/>
      <c r="AC53" s="171"/>
      <c r="AD53" s="171"/>
      <c r="AE53" s="171"/>
      <c r="AF53" s="171"/>
      <c r="AG53" s="171"/>
      <c r="AH53" s="171"/>
      <c r="AI53" s="171"/>
      <c r="AJ53" s="171"/>
      <c r="AK53" s="171"/>
    </row>
    <row r="54" spans="1:37" ht="14.25" customHeight="1" x14ac:dyDescent="0.2">
      <c r="A54" s="199" t="s">
        <v>208</v>
      </c>
      <c r="B54" s="200" t="s">
        <v>207</v>
      </c>
      <c r="C54" s="212"/>
      <c r="D54" s="169"/>
      <c r="E54" s="169"/>
      <c r="F54" s="169"/>
      <c r="AC54" s="171"/>
      <c r="AD54" s="171"/>
      <c r="AE54" s="167"/>
      <c r="AF54" s="167"/>
      <c r="AG54" s="167"/>
      <c r="AH54" s="167"/>
      <c r="AI54" s="167"/>
      <c r="AJ54" s="167"/>
      <c r="AK54" s="167"/>
    </row>
    <row r="55" spans="1:37" ht="18.75" customHeight="1" x14ac:dyDescent="0.2">
      <c r="A55" s="613" t="s">
        <v>209</v>
      </c>
      <c r="B55" s="614"/>
      <c r="C55" s="615"/>
      <c r="D55" s="615"/>
      <c r="E55" s="615"/>
      <c r="F55" s="615"/>
      <c r="AC55" s="171"/>
      <c r="AD55" s="171"/>
      <c r="AE55" s="167"/>
      <c r="AF55" s="167"/>
      <c r="AG55" s="167"/>
      <c r="AH55" s="167"/>
      <c r="AI55" s="167"/>
      <c r="AJ55" s="167"/>
      <c r="AK55" s="167"/>
    </row>
    <row r="56" spans="1:37" ht="14.25" customHeight="1" x14ac:dyDescent="0.2">
      <c r="A56" s="199" t="s">
        <v>210</v>
      </c>
      <c r="B56" s="200"/>
      <c r="C56" s="213"/>
      <c r="D56" s="213"/>
      <c r="E56" s="213"/>
      <c r="F56" s="213"/>
    </row>
    <row r="57" spans="1:37" ht="14.25" customHeight="1" x14ac:dyDescent="0.2">
      <c r="A57" s="199" t="s">
        <v>211</v>
      </c>
      <c r="B57" s="200" t="s">
        <v>212</v>
      </c>
      <c r="C57" s="213"/>
      <c r="D57" s="213"/>
      <c r="E57" s="213"/>
      <c r="F57" s="213"/>
    </row>
    <row r="58" spans="1:37" ht="14.25" customHeight="1" x14ac:dyDescent="0.2">
      <c r="A58" s="199" t="s">
        <v>213</v>
      </c>
      <c r="B58" s="200" t="s">
        <v>214</v>
      </c>
      <c r="C58" s="213"/>
      <c r="D58" s="213"/>
      <c r="E58" s="213"/>
      <c r="F58" s="213"/>
    </row>
    <row r="59" spans="1:37" ht="14.25" customHeight="1" x14ac:dyDescent="0.2">
      <c r="A59" s="199" t="s">
        <v>215</v>
      </c>
      <c r="B59" s="200"/>
      <c r="C59" s="214"/>
      <c r="D59" s="214"/>
      <c r="E59" s="214"/>
      <c r="F59" s="214"/>
    </row>
    <row r="60" spans="1:37" ht="14.25" customHeight="1" x14ac:dyDescent="0.2">
      <c r="A60" s="216" t="s">
        <v>216</v>
      </c>
      <c r="B60" s="217" t="s">
        <v>156</v>
      </c>
      <c r="C60" s="213"/>
      <c r="D60" s="213"/>
      <c r="E60" s="213"/>
      <c r="F60" s="213"/>
    </row>
    <row r="61" spans="1:37" ht="14.25" customHeight="1" x14ac:dyDescent="0.2">
      <c r="A61" s="199" t="s">
        <v>217</v>
      </c>
      <c r="B61" s="200" t="s">
        <v>218</v>
      </c>
      <c r="C61" s="218"/>
      <c r="D61" s="218"/>
      <c r="E61" s="218"/>
      <c r="F61" s="218"/>
    </row>
    <row r="62" spans="1:37" ht="14.25" customHeight="1" x14ac:dyDescent="0.2">
      <c r="A62" s="199" t="s">
        <v>219</v>
      </c>
      <c r="B62" s="219" t="s">
        <v>220</v>
      </c>
      <c r="C62" s="213"/>
      <c r="D62" s="213"/>
      <c r="E62" s="213"/>
      <c r="F62" s="213"/>
    </row>
    <row r="63" spans="1:37" ht="14.25" customHeight="1" x14ac:dyDescent="0.2">
      <c r="A63" s="199" t="s">
        <v>221</v>
      </c>
      <c r="B63" s="200"/>
      <c r="C63" s="220"/>
      <c r="D63" s="220"/>
      <c r="E63" s="220"/>
      <c r="F63" s="220"/>
    </row>
    <row r="64" spans="1:37" ht="14.25" customHeight="1" x14ac:dyDescent="0.2">
      <c r="A64" s="199" t="s">
        <v>222</v>
      </c>
      <c r="B64" s="206" t="s">
        <v>223</v>
      </c>
      <c r="C64" s="213"/>
      <c r="D64" s="213"/>
      <c r="E64" s="213"/>
      <c r="F64" s="213"/>
    </row>
    <row r="65" spans="1:37" ht="14.25" customHeight="1" x14ac:dyDescent="0.2">
      <c r="A65" s="199" t="s">
        <v>224</v>
      </c>
      <c r="B65" s="206" t="s">
        <v>223</v>
      </c>
      <c r="C65" s="213"/>
      <c r="D65" s="213"/>
      <c r="E65" s="213"/>
      <c r="F65" s="213"/>
    </row>
    <row r="66" spans="1:37" ht="14.25" customHeight="1" x14ac:dyDescent="0.2">
      <c r="A66" s="199" t="s">
        <v>225</v>
      </c>
      <c r="B66" s="206" t="s">
        <v>223</v>
      </c>
      <c r="C66" s="213"/>
      <c r="D66" s="213"/>
      <c r="E66" s="213"/>
      <c r="F66" s="213"/>
    </row>
    <row r="67" spans="1:37" ht="14.25" customHeight="1" x14ac:dyDescent="0.2">
      <c r="A67" s="199" t="s">
        <v>226</v>
      </c>
      <c r="B67" s="200" t="s">
        <v>227</v>
      </c>
      <c r="C67" s="213"/>
      <c r="D67" s="213"/>
      <c r="E67" s="213"/>
      <c r="F67" s="213"/>
    </row>
    <row r="68" spans="1:37" ht="14.25" customHeight="1" x14ac:dyDescent="0.2">
      <c r="A68" s="216" t="s">
        <v>228</v>
      </c>
      <c r="B68" s="217" t="s">
        <v>229</v>
      </c>
      <c r="C68" s="213"/>
      <c r="D68" s="213"/>
      <c r="E68" s="213"/>
      <c r="F68" s="213"/>
    </row>
    <row r="69" spans="1:37" ht="14.25" customHeight="1" x14ac:dyDescent="0.2">
      <c r="A69" s="199" t="s">
        <v>230</v>
      </c>
      <c r="B69" s="200" t="s">
        <v>218</v>
      </c>
      <c r="C69" s="213"/>
      <c r="D69" s="213"/>
      <c r="E69" s="213"/>
      <c r="F69" s="213"/>
    </row>
    <row r="70" spans="1:37" ht="14.25" customHeight="1" x14ac:dyDescent="0.2">
      <c r="A70" s="623" t="s">
        <v>231</v>
      </c>
      <c r="B70" s="624"/>
      <c r="C70" s="213"/>
      <c r="D70" s="213"/>
      <c r="E70" s="213"/>
      <c r="F70" s="213"/>
    </row>
    <row r="71" spans="1:37" ht="14.25" customHeight="1" x14ac:dyDescent="0.2">
      <c r="A71" s="623" t="s">
        <v>232</v>
      </c>
      <c r="B71" s="624"/>
      <c r="C71" s="213"/>
      <c r="D71" s="213"/>
      <c r="E71" s="213"/>
      <c r="F71" s="213"/>
    </row>
    <row r="72" spans="1:37" ht="5.25" customHeight="1" x14ac:dyDescent="0.2">
      <c r="A72" s="195"/>
      <c r="B72" s="148"/>
      <c r="C72" s="148"/>
      <c r="G72" s="196"/>
    </row>
    <row r="73" spans="1:37" ht="31.5" customHeight="1" x14ac:dyDescent="0.2">
      <c r="A73" s="621" t="s">
        <v>184</v>
      </c>
      <c r="B73" s="622"/>
      <c r="C73" s="622"/>
      <c r="D73" s="622"/>
      <c r="E73" s="622"/>
      <c r="F73" s="622"/>
    </row>
    <row r="74" spans="1:37" ht="20.25" customHeight="1" x14ac:dyDescent="0.2">
      <c r="A74" s="611"/>
      <c r="B74" s="612"/>
      <c r="C74" s="197"/>
      <c r="D74" s="197"/>
      <c r="E74" s="197"/>
      <c r="F74" s="197"/>
    </row>
    <row r="75" spans="1:37" ht="20.25" customHeight="1" x14ac:dyDescent="0.2">
      <c r="A75" s="611" t="s">
        <v>185</v>
      </c>
      <c r="B75" s="612"/>
      <c r="C75" s="198"/>
      <c r="D75" s="198"/>
      <c r="E75" s="198"/>
      <c r="F75" s="198"/>
    </row>
    <row r="76" spans="1:37" ht="13.5" customHeight="1" x14ac:dyDescent="0.2">
      <c r="A76" s="199" t="s">
        <v>186</v>
      </c>
      <c r="B76" s="221" t="s">
        <v>187</v>
      </c>
      <c r="C76" s="201"/>
      <c r="D76" s="166"/>
      <c r="E76" s="166"/>
      <c r="F76" s="166"/>
    </row>
    <row r="77" spans="1:37" ht="14.25" customHeight="1" x14ac:dyDescent="0.2">
      <c r="A77" s="222" t="s">
        <v>188</v>
      </c>
      <c r="B77" s="221"/>
      <c r="C77" s="201"/>
      <c r="D77" s="166"/>
      <c r="E77" s="166"/>
      <c r="F77" s="166"/>
      <c r="AC77" s="167"/>
      <c r="AD77" s="167"/>
      <c r="AE77" s="167"/>
      <c r="AF77" s="167"/>
      <c r="AG77" s="167"/>
      <c r="AH77" s="167"/>
      <c r="AI77" s="167"/>
      <c r="AJ77" s="167"/>
      <c r="AK77" s="167"/>
    </row>
    <row r="78" spans="1:37" ht="14.25" customHeight="1" x14ac:dyDescent="0.2">
      <c r="A78" s="199" t="s">
        <v>189</v>
      </c>
      <c r="B78" s="221" t="s">
        <v>190</v>
      </c>
      <c r="C78" s="203"/>
      <c r="D78" s="188"/>
      <c r="E78" s="188"/>
      <c r="F78" s="188"/>
      <c r="AC78" s="171"/>
      <c r="AD78" s="171"/>
      <c r="AE78" s="167"/>
      <c r="AF78" s="167"/>
      <c r="AG78" s="167"/>
      <c r="AH78" s="167"/>
      <c r="AI78" s="167"/>
      <c r="AJ78" s="167"/>
      <c r="AK78" s="167"/>
    </row>
    <row r="79" spans="1:37" ht="14.25" customHeight="1" x14ac:dyDescent="0.2">
      <c r="A79" s="199" t="s">
        <v>191</v>
      </c>
      <c r="B79" s="221"/>
      <c r="C79" s="201"/>
      <c r="D79" s="166"/>
      <c r="E79" s="166"/>
      <c r="F79" s="166"/>
      <c r="AC79" s="171"/>
      <c r="AD79" s="171"/>
      <c r="AE79" s="167"/>
      <c r="AF79" s="167"/>
      <c r="AG79" s="167"/>
      <c r="AH79" s="167"/>
      <c r="AI79" s="167"/>
      <c r="AJ79" s="167"/>
      <c r="AK79" s="167"/>
    </row>
    <row r="80" spans="1:37" ht="14.25" customHeight="1" x14ac:dyDescent="0.2">
      <c r="A80" s="199" t="s">
        <v>192</v>
      </c>
      <c r="B80" s="221" t="s">
        <v>193</v>
      </c>
      <c r="C80" s="204"/>
      <c r="D80" s="176"/>
      <c r="E80" s="176"/>
      <c r="F80" s="176"/>
      <c r="AC80" s="171"/>
      <c r="AD80" s="171"/>
      <c r="AE80" s="167"/>
      <c r="AF80" s="167"/>
      <c r="AG80" s="167"/>
      <c r="AH80" s="167"/>
      <c r="AI80" s="167"/>
      <c r="AJ80" s="167"/>
      <c r="AK80" s="167"/>
    </row>
    <row r="81" spans="1:37" ht="14.25" customHeight="1" x14ac:dyDescent="0.2">
      <c r="A81" s="199" t="s">
        <v>194</v>
      </c>
      <c r="B81" s="221" t="s">
        <v>193</v>
      </c>
      <c r="C81" s="204"/>
      <c r="D81" s="176"/>
      <c r="E81" s="176"/>
      <c r="F81" s="176"/>
      <c r="AC81" s="171"/>
      <c r="AD81" s="171"/>
      <c r="AE81" s="167"/>
      <c r="AF81" s="167"/>
      <c r="AG81" s="167"/>
      <c r="AH81" s="167"/>
      <c r="AI81" s="167"/>
      <c r="AJ81" s="167"/>
      <c r="AK81" s="167"/>
    </row>
    <row r="82" spans="1:37" ht="14.25" customHeight="1" x14ac:dyDescent="0.2">
      <c r="A82" s="199" t="s">
        <v>195</v>
      </c>
      <c r="B82" s="221" t="s">
        <v>193</v>
      </c>
      <c r="C82" s="204"/>
      <c r="D82" s="176"/>
      <c r="E82" s="176"/>
      <c r="F82" s="176"/>
      <c r="AC82" s="171"/>
      <c r="AD82" s="171"/>
      <c r="AE82" s="167"/>
      <c r="AF82" s="167"/>
      <c r="AG82" s="167"/>
      <c r="AH82" s="167"/>
      <c r="AI82" s="167"/>
      <c r="AJ82" s="167"/>
      <c r="AK82" s="167"/>
    </row>
    <row r="83" spans="1:37" ht="14.25" customHeight="1" x14ac:dyDescent="0.2">
      <c r="A83" s="199" t="s">
        <v>196</v>
      </c>
      <c r="B83" s="221" t="s">
        <v>193</v>
      </c>
      <c r="C83" s="204"/>
      <c r="D83" s="176"/>
      <c r="E83" s="176"/>
      <c r="F83" s="176"/>
      <c r="AC83" s="171"/>
      <c r="AD83" s="171"/>
      <c r="AE83" s="167"/>
      <c r="AF83" s="167"/>
      <c r="AG83" s="167"/>
      <c r="AH83" s="167"/>
      <c r="AI83" s="167"/>
      <c r="AJ83" s="167"/>
      <c r="AK83" s="167"/>
    </row>
    <row r="84" spans="1:37" ht="14.25" customHeight="1" x14ac:dyDescent="0.2">
      <c r="A84" s="199" t="s">
        <v>197</v>
      </c>
      <c r="B84" s="221" t="s">
        <v>193</v>
      </c>
      <c r="C84" s="205"/>
      <c r="D84" s="178"/>
      <c r="E84" s="178"/>
      <c r="F84" s="178"/>
      <c r="AC84" s="171"/>
      <c r="AD84" s="171"/>
      <c r="AE84" s="167"/>
      <c r="AF84" s="167"/>
      <c r="AG84" s="167"/>
      <c r="AH84" s="167"/>
      <c r="AI84" s="167"/>
      <c r="AJ84" s="167"/>
      <c r="AK84" s="167"/>
    </row>
    <row r="85" spans="1:37" ht="14.25" customHeight="1" x14ac:dyDescent="0.2">
      <c r="A85" s="199" t="s">
        <v>198</v>
      </c>
      <c r="B85" s="223" t="s">
        <v>199</v>
      </c>
      <c r="C85" s="207"/>
      <c r="D85" s="208"/>
      <c r="E85" s="208"/>
      <c r="F85" s="208"/>
      <c r="AC85" s="171"/>
      <c r="AD85" s="171"/>
      <c r="AE85" s="181"/>
      <c r="AF85" s="181"/>
      <c r="AG85" s="181"/>
      <c r="AH85" s="181"/>
      <c r="AI85" s="181"/>
      <c r="AJ85" s="181"/>
      <c r="AK85" s="181"/>
    </row>
    <row r="86" spans="1:37" ht="14.25" customHeight="1" x14ac:dyDescent="0.2">
      <c r="A86" s="151" t="s">
        <v>200</v>
      </c>
      <c r="B86" s="224" t="s">
        <v>201</v>
      </c>
      <c r="C86" s="210"/>
      <c r="D86" s="178"/>
      <c r="E86" s="178"/>
      <c r="F86" s="178"/>
      <c r="AC86" s="171"/>
      <c r="AD86" s="171"/>
      <c r="AE86" s="181"/>
      <c r="AF86" s="181"/>
      <c r="AG86" s="181"/>
      <c r="AH86" s="181"/>
      <c r="AI86" s="181"/>
      <c r="AJ86" s="181"/>
      <c r="AK86" s="181"/>
    </row>
    <row r="87" spans="1:37" ht="14.25" customHeight="1" x14ac:dyDescent="0.2">
      <c r="A87" s="199" t="s">
        <v>202</v>
      </c>
      <c r="B87" s="223" t="s">
        <v>199</v>
      </c>
      <c r="C87" s="207"/>
      <c r="D87" s="208"/>
      <c r="E87" s="208"/>
      <c r="F87" s="208"/>
      <c r="AC87" s="182"/>
      <c r="AD87" s="182"/>
      <c r="AE87" s="181"/>
      <c r="AF87" s="181"/>
      <c r="AG87" s="181"/>
      <c r="AH87" s="181"/>
      <c r="AI87" s="181"/>
      <c r="AJ87" s="181"/>
      <c r="AK87" s="181"/>
    </row>
    <row r="88" spans="1:37" ht="14.25" customHeight="1" x14ac:dyDescent="0.2">
      <c r="A88" s="199" t="s">
        <v>203</v>
      </c>
      <c r="B88" s="221" t="s">
        <v>204</v>
      </c>
      <c r="C88" s="204"/>
      <c r="D88" s="176"/>
      <c r="E88" s="176"/>
      <c r="F88" s="176"/>
      <c r="AC88" s="182"/>
      <c r="AD88" s="182"/>
      <c r="AE88" s="181"/>
      <c r="AF88" s="181"/>
      <c r="AG88" s="181"/>
      <c r="AH88" s="181"/>
      <c r="AI88" s="181"/>
      <c r="AJ88" s="181"/>
      <c r="AK88" s="181"/>
    </row>
    <row r="89" spans="1:37" ht="14.25" customHeight="1" x14ac:dyDescent="0.2">
      <c r="A89" s="199" t="s">
        <v>128</v>
      </c>
      <c r="B89" s="221" t="s">
        <v>205</v>
      </c>
      <c r="C89" s="201"/>
      <c r="D89" s="166"/>
      <c r="E89" s="166"/>
      <c r="F89" s="166"/>
      <c r="AC89" s="171"/>
      <c r="AD89" s="171"/>
      <c r="AE89" s="211"/>
      <c r="AF89" s="181"/>
      <c r="AG89" s="181"/>
      <c r="AH89" s="181"/>
      <c r="AI89" s="181"/>
      <c r="AJ89" s="181"/>
      <c r="AK89" s="181"/>
    </row>
    <row r="90" spans="1:37" ht="14.25" customHeight="1" x14ac:dyDescent="0.2">
      <c r="A90" s="199" t="s">
        <v>206</v>
      </c>
      <c r="B90" s="221" t="s">
        <v>207</v>
      </c>
      <c r="C90" s="212"/>
      <c r="D90" s="169"/>
      <c r="E90" s="169"/>
      <c r="F90" s="169"/>
      <c r="AC90" s="171"/>
      <c r="AD90" s="171"/>
      <c r="AE90" s="171"/>
      <c r="AF90" s="171"/>
      <c r="AG90" s="171"/>
      <c r="AH90" s="171"/>
      <c r="AI90" s="171"/>
      <c r="AJ90" s="171"/>
      <c r="AK90" s="171"/>
    </row>
    <row r="91" spans="1:37" ht="14.25" customHeight="1" x14ac:dyDescent="0.2">
      <c r="A91" s="199" t="s">
        <v>208</v>
      </c>
      <c r="B91" s="221" t="s">
        <v>207</v>
      </c>
      <c r="C91" s="212"/>
      <c r="D91" s="169"/>
      <c r="E91" s="169"/>
      <c r="F91" s="169"/>
      <c r="AC91" s="171"/>
      <c r="AD91" s="171"/>
      <c r="AE91" s="167"/>
      <c r="AF91" s="167"/>
      <c r="AG91" s="167"/>
      <c r="AH91" s="167"/>
      <c r="AI91" s="167"/>
      <c r="AJ91" s="167"/>
      <c r="AK91" s="167"/>
    </row>
    <row r="92" spans="1:37" ht="18.75" customHeight="1" x14ac:dyDescent="0.2">
      <c r="A92" s="613" t="s">
        <v>209</v>
      </c>
      <c r="B92" s="614"/>
      <c r="C92" s="615"/>
      <c r="D92" s="615"/>
      <c r="E92" s="615"/>
      <c r="F92" s="615"/>
      <c r="AC92" s="171"/>
      <c r="AD92" s="171"/>
      <c r="AE92" s="167"/>
      <c r="AF92" s="167"/>
      <c r="AG92" s="167"/>
      <c r="AH92" s="167"/>
      <c r="AI92" s="167"/>
      <c r="AJ92" s="167"/>
      <c r="AK92" s="167"/>
    </row>
    <row r="93" spans="1:37" ht="14.25" customHeight="1" x14ac:dyDescent="0.2">
      <c r="A93" s="199" t="s">
        <v>210</v>
      </c>
      <c r="B93" s="221"/>
      <c r="C93" s="213"/>
      <c r="D93" s="213"/>
      <c r="E93" s="213"/>
      <c r="F93" s="213"/>
    </row>
    <row r="94" spans="1:37" ht="14.25" customHeight="1" x14ac:dyDescent="0.2">
      <c r="A94" s="222" t="s">
        <v>211</v>
      </c>
      <c r="B94" s="221" t="s">
        <v>212</v>
      </c>
      <c r="C94" s="213"/>
      <c r="D94" s="213"/>
      <c r="E94" s="213"/>
      <c r="F94" s="213"/>
    </row>
    <row r="95" spans="1:37" ht="14.25" customHeight="1" x14ac:dyDescent="0.2">
      <c r="A95" s="222" t="s">
        <v>213</v>
      </c>
      <c r="B95" s="221" t="s">
        <v>214</v>
      </c>
      <c r="C95" s="213"/>
      <c r="D95" s="213"/>
      <c r="E95" s="213"/>
      <c r="F95" s="213"/>
    </row>
    <row r="96" spans="1:37" ht="14.25" customHeight="1" x14ac:dyDescent="0.2">
      <c r="A96" s="199" t="s">
        <v>215</v>
      </c>
      <c r="B96" s="200"/>
      <c r="C96" s="215"/>
      <c r="D96" s="215"/>
      <c r="E96" s="215"/>
      <c r="F96" s="215"/>
    </row>
    <row r="97" spans="1:6" ht="14.25" customHeight="1" x14ac:dyDescent="0.2">
      <c r="A97" s="225" t="s">
        <v>216</v>
      </c>
      <c r="B97" s="226" t="s">
        <v>156</v>
      </c>
      <c r="C97" s="213"/>
      <c r="D97" s="213"/>
      <c r="E97" s="213"/>
      <c r="F97" s="213"/>
    </row>
    <row r="98" spans="1:6" ht="14.25" customHeight="1" x14ac:dyDescent="0.2">
      <c r="A98" s="222" t="s">
        <v>217</v>
      </c>
      <c r="B98" s="221" t="s">
        <v>218</v>
      </c>
      <c r="C98" s="218"/>
      <c r="D98" s="218"/>
      <c r="E98" s="218"/>
      <c r="F98" s="218"/>
    </row>
    <row r="99" spans="1:6" ht="14.25" customHeight="1" x14ac:dyDescent="0.2">
      <c r="A99" s="222" t="s">
        <v>219</v>
      </c>
      <c r="B99" s="227" t="s">
        <v>220</v>
      </c>
      <c r="C99" s="213"/>
      <c r="D99" s="213"/>
      <c r="E99" s="213"/>
      <c r="F99" s="213"/>
    </row>
    <row r="100" spans="1:6" ht="14.25" customHeight="1" x14ac:dyDescent="0.2">
      <c r="A100" s="222" t="s">
        <v>221</v>
      </c>
      <c r="B100" s="221"/>
      <c r="C100" s="220"/>
      <c r="D100" s="220"/>
      <c r="E100" s="220"/>
      <c r="F100" s="220"/>
    </row>
    <row r="101" spans="1:6" ht="14.25" customHeight="1" x14ac:dyDescent="0.2">
      <c r="A101" s="222" t="s">
        <v>222</v>
      </c>
      <c r="B101" s="223" t="s">
        <v>223</v>
      </c>
      <c r="C101" s="213"/>
      <c r="D101" s="213"/>
      <c r="E101" s="213"/>
      <c r="F101" s="213"/>
    </row>
    <row r="102" spans="1:6" ht="14.25" customHeight="1" x14ac:dyDescent="0.2">
      <c r="A102" s="222" t="s">
        <v>224</v>
      </c>
      <c r="B102" s="223" t="s">
        <v>223</v>
      </c>
      <c r="C102" s="213"/>
      <c r="D102" s="213"/>
      <c r="E102" s="213"/>
      <c r="F102" s="213"/>
    </row>
    <row r="103" spans="1:6" ht="14.25" customHeight="1" x14ac:dyDescent="0.2">
      <c r="A103" s="222" t="s">
        <v>225</v>
      </c>
      <c r="B103" s="223" t="s">
        <v>223</v>
      </c>
      <c r="C103" s="213"/>
      <c r="D103" s="213"/>
      <c r="E103" s="213"/>
      <c r="F103" s="213"/>
    </row>
    <row r="104" spans="1:6" ht="14.25" customHeight="1" x14ac:dyDescent="0.2">
      <c r="A104" s="222" t="s">
        <v>226</v>
      </c>
      <c r="B104" s="221" t="s">
        <v>227</v>
      </c>
      <c r="C104" s="213"/>
      <c r="D104" s="213"/>
      <c r="E104" s="213"/>
      <c r="F104" s="213"/>
    </row>
    <row r="105" spans="1:6" ht="14.25" customHeight="1" x14ac:dyDescent="0.2">
      <c r="A105" s="225" t="s">
        <v>228</v>
      </c>
      <c r="B105" s="226" t="s">
        <v>229</v>
      </c>
      <c r="C105" s="213"/>
      <c r="D105" s="213"/>
      <c r="E105" s="213"/>
      <c r="F105" s="213"/>
    </row>
    <row r="106" spans="1:6" ht="14.25" customHeight="1" x14ac:dyDescent="0.2">
      <c r="A106" s="222" t="s">
        <v>230</v>
      </c>
      <c r="B106" s="221" t="s">
        <v>218</v>
      </c>
      <c r="C106" s="213"/>
      <c r="D106" s="213"/>
      <c r="E106" s="213"/>
      <c r="F106" s="213"/>
    </row>
    <row r="107" spans="1:6" ht="14.25" customHeight="1" x14ac:dyDescent="0.2">
      <c r="A107" s="633" t="s">
        <v>231</v>
      </c>
      <c r="B107" s="634"/>
      <c r="C107" s="213"/>
      <c r="D107" s="213"/>
      <c r="E107" s="213"/>
      <c r="F107" s="213"/>
    </row>
    <row r="108" spans="1:6" ht="14.25" customHeight="1" x14ac:dyDescent="0.2">
      <c r="A108" s="633" t="s">
        <v>232</v>
      </c>
      <c r="B108" s="634"/>
      <c r="C108" s="213"/>
      <c r="D108" s="213"/>
      <c r="E108" s="213"/>
      <c r="F108" s="213"/>
    </row>
    <row r="109" spans="1:6" ht="5.25" customHeight="1" x14ac:dyDescent="0.2"/>
    <row r="110" spans="1:6" ht="31.5" customHeight="1" x14ac:dyDescent="0.2">
      <c r="A110" s="621" t="s">
        <v>184</v>
      </c>
      <c r="B110" s="622"/>
      <c r="C110" s="622"/>
      <c r="D110" s="622"/>
      <c r="E110" s="622"/>
      <c r="F110" s="622"/>
    </row>
    <row r="111" spans="1:6" ht="20.25" customHeight="1" x14ac:dyDescent="0.2">
      <c r="A111" s="611"/>
      <c r="B111" s="612"/>
      <c r="C111" s="197"/>
      <c r="D111" s="197"/>
      <c r="E111" s="197"/>
      <c r="F111" s="197"/>
    </row>
    <row r="112" spans="1:6" ht="20.25" customHeight="1" x14ac:dyDescent="0.2">
      <c r="A112" s="611" t="s">
        <v>185</v>
      </c>
      <c r="B112" s="612"/>
      <c r="C112" s="198"/>
      <c r="D112" s="198"/>
      <c r="E112" s="198"/>
      <c r="F112" s="198"/>
    </row>
    <row r="113" spans="1:37" ht="13.5" customHeight="1" x14ac:dyDescent="0.2">
      <c r="A113" s="199" t="s">
        <v>186</v>
      </c>
      <c r="B113" s="200" t="s">
        <v>187</v>
      </c>
      <c r="C113" s="201"/>
      <c r="D113" s="166"/>
      <c r="E113" s="166"/>
      <c r="F113" s="166"/>
    </row>
    <row r="114" spans="1:37" ht="14.25" customHeight="1" x14ac:dyDescent="0.2">
      <c r="A114" s="199" t="s">
        <v>188</v>
      </c>
      <c r="B114" s="200"/>
      <c r="C114" s="201"/>
      <c r="D114" s="166"/>
      <c r="E114" s="166"/>
      <c r="F114" s="166"/>
      <c r="AC114" s="167"/>
      <c r="AD114" s="167"/>
      <c r="AE114" s="167"/>
      <c r="AF114" s="167"/>
      <c r="AG114" s="167"/>
      <c r="AH114" s="167"/>
      <c r="AI114" s="167"/>
      <c r="AJ114" s="167"/>
      <c r="AK114" s="167"/>
    </row>
    <row r="115" spans="1:37" ht="14.25" customHeight="1" x14ac:dyDescent="0.2">
      <c r="A115" s="199" t="s">
        <v>189</v>
      </c>
      <c r="B115" s="200" t="s">
        <v>190</v>
      </c>
      <c r="C115" s="201"/>
      <c r="D115" s="166"/>
      <c r="E115" s="166"/>
      <c r="F115" s="166"/>
      <c r="AC115" s="171"/>
      <c r="AD115" s="171"/>
      <c r="AE115" s="167"/>
      <c r="AF115" s="167"/>
      <c r="AG115" s="167"/>
      <c r="AH115" s="167"/>
      <c r="AI115" s="167"/>
      <c r="AJ115" s="167"/>
      <c r="AK115" s="167"/>
    </row>
    <row r="116" spans="1:37" ht="14.25" customHeight="1" x14ac:dyDescent="0.2">
      <c r="A116" s="199" t="s">
        <v>191</v>
      </c>
      <c r="B116" s="200"/>
      <c r="C116" s="201"/>
      <c r="D116" s="166"/>
      <c r="E116" s="166"/>
      <c r="F116" s="166"/>
      <c r="AC116" s="171"/>
      <c r="AD116" s="171"/>
      <c r="AE116" s="167"/>
      <c r="AF116" s="167"/>
      <c r="AG116" s="167"/>
      <c r="AH116" s="167"/>
      <c r="AI116" s="167"/>
      <c r="AJ116" s="167"/>
      <c r="AK116" s="167"/>
    </row>
    <row r="117" spans="1:37" ht="14.25" customHeight="1" x14ac:dyDescent="0.2">
      <c r="A117" s="199" t="s">
        <v>192</v>
      </c>
      <c r="B117" s="200" t="s">
        <v>193</v>
      </c>
      <c r="C117" s="201"/>
      <c r="D117" s="166"/>
      <c r="E117" s="166"/>
      <c r="F117" s="166"/>
      <c r="AC117" s="171"/>
      <c r="AD117" s="171"/>
      <c r="AE117" s="167"/>
      <c r="AF117" s="167"/>
      <c r="AG117" s="167"/>
      <c r="AH117" s="167"/>
      <c r="AI117" s="167"/>
      <c r="AJ117" s="167"/>
      <c r="AK117" s="167"/>
    </row>
    <row r="118" spans="1:37" ht="14.25" customHeight="1" x14ac:dyDescent="0.2">
      <c r="A118" s="199" t="s">
        <v>194</v>
      </c>
      <c r="B118" s="200" t="s">
        <v>193</v>
      </c>
      <c r="C118" s="201"/>
      <c r="D118" s="166"/>
      <c r="E118" s="166"/>
      <c r="F118" s="166"/>
      <c r="AC118" s="171"/>
      <c r="AD118" s="171"/>
      <c r="AE118" s="167"/>
      <c r="AF118" s="167"/>
      <c r="AG118" s="167"/>
      <c r="AH118" s="167"/>
      <c r="AI118" s="167"/>
      <c r="AJ118" s="167"/>
      <c r="AK118" s="167"/>
    </row>
    <row r="119" spans="1:37" ht="14.25" customHeight="1" x14ac:dyDescent="0.2">
      <c r="A119" s="199" t="s">
        <v>195</v>
      </c>
      <c r="B119" s="200" t="s">
        <v>193</v>
      </c>
      <c r="C119" s="201"/>
      <c r="D119" s="166"/>
      <c r="E119" s="166"/>
      <c r="F119" s="166"/>
      <c r="AC119" s="171"/>
      <c r="AD119" s="171"/>
      <c r="AE119" s="167"/>
      <c r="AF119" s="167"/>
      <c r="AG119" s="167"/>
      <c r="AH119" s="167"/>
      <c r="AI119" s="167"/>
      <c r="AJ119" s="167"/>
      <c r="AK119" s="167"/>
    </row>
    <row r="120" spans="1:37" ht="14.25" customHeight="1" x14ac:dyDescent="0.2">
      <c r="A120" s="199" t="s">
        <v>196</v>
      </c>
      <c r="B120" s="200" t="s">
        <v>193</v>
      </c>
      <c r="C120" s="201"/>
      <c r="D120" s="166"/>
      <c r="E120" s="166"/>
      <c r="F120" s="166"/>
      <c r="AC120" s="171"/>
      <c r="AD120" s="171"/>
      <c r="AE120" s="167"/>
      <c r="AF120" s="167"/>
      <c r="AG120" s="167"/>
      <c r="AH120" s="167"/>
      <c r="AI120" s="167"/>
      <c r="AJ120" s="167"/>
      <c r="AK120" s="167"/>
    </row>
    <row r="121" spans="1:37" ht="14.25" customHeight="1" x14ac:dyDescent="0.2">
      <c r="A121" s="199" t="s">
        <v>197</v>
      </c>
      <c r="B121" s="200" t="s">
        <v>193</v>
      </c>
      <c r="C121" s="228"/>
      <c r="D121" s="166"/>
      <c r="E121" s="166"/>
      <c r="F121" s="166"/>
      <c r="AC121" s="171"/>
      <c r="AD121" s="171"/>
      <c r="AE121" s="167"/>
      <c r="AF121" s="167"/>
      <c r="AG121" s="167"/>
      <c r="AH121" s="167"/>
      <c r="AI121" s="167"/>
      <c r="AJ121" s="167"/>
      <c r="AK121" s="167"/>
    </row>
    <row r="122" spans="1:37" ht="14.25" customHeight="1" x14ac:dyDescent="0.2">
      <c r="A122" s="199" t="s">
        <v>198</v>
      </c>
      <c r="B122" s="206" t="s">
        <v>199</v>
      </c>
      <c r="C122" s="201"/>
      <c r="D122" s="166"/>
      <c r="E122" s="166"/>
      <c r="F122" s="166"/>
      <c r="AC122" s="171"/>
      <c r="AD122" s="171"/>
      <c r="AE122" s="181"/>
      <c r="AF122" s="181"/>
      <c r="AG122" s="181"/>
      <c r="AH122" s="181"/>
      <c r="AI122" s="181"/>
      <c r="AJ122" s="181"/>
      <c r="AK122" s="181"/>
    </row>
    <row r="123" spans="1:37" ht="14.25" customHeight="1" x14ac:dyDescent="0.2">
      <c r="A123" s="151" t="s">
        <v>200</v>
      </c>
      <c r="B123" s="229" t="s">
        <v>201</v>
      </c>
      <c r="C123" s="201"/>
      <c r="D123" s="166"/>
      <c r="E123" s="166"/>
      <c r="F123" s="166"/>
      <c r="AC123" s="171"/>
      <c r="AD123" s="171"/>
      <c r="AE123" s="181"/>
      <c r="AF123" s="181"/>
      <c r="AG123" s="181"/>
      <c r="AH123" s="181"/>
      <c r="AI123" s="181"/>
      <c r="AJ123" s="181"/>
      <c r="AK123" s="181"/>
    </row>
    <row r="124" spans="1:37" ht="14.25" customHeight="1" x14ac:dyDescent="0.2">
      <c r="A124" s="199" t="s">
        <v>202</v>
      </c>
      <c r="B124" s="206" t="s">
        <v>199</v>
      </c>
      <c r="C124" s="201"/>
      <c r="D124" s="166"/>
      <c r="E124" s="166"/>
      <c r="F124" s="166"/>
      <c r="AC124" s="182"/>
      <c r="AD124" s="182"/>
      <c r="AE124" s="181"/>
      <c r="AF124" s="181"/>
      <c r="AG124" s="181"/>
      <c r="AH124" s="181"/>
      <c r="AI124" s="181"/>
      <c r="AJ124" s="181"/>
      <c r="AK124" s="181"/>
    </row>
    <row r="125" spans="1:37" ht="14.25" customHeight="1" x14ac:dyDescent="0.2">
      <c r="A125" s="199" t="s">
        <v>203</v>
      </c>
      <c r="B125" s="200" t="s">
        <v>204</v>
      </c>
      <c r="C125" s="201"/>
      <c r="D125" s="166"/>
      <c r="E125" s="166"/>
      <c r="F125" s="166"/>
      <c r="AC125" s="182"/>
      <c r="AD125" s="182"/>
      <c r="AE125" s="181"/>
      <c r="AF125" s="181"/>
      <c r="AG125" s="181"/>
      <c r="AH125" s="181"/>
      <c r="AI125" s="181"/>
      <c r="AJ125" s="181"/>
      <c r="AK125" s="181"/>
    </row>
    <row r="126" spans="1:37" ht="14.25" customHeight="1" x14ac:dyDescent="0.2">
      <c r="A126" s="199" t="s">
        <v>128</v>
      </c>
      <c r="B126" s="200" t="s">
        <v>205</v>
      </c>
      <c r="C126" s="201"/>
      <c r="D126" s="166"/>
      <c r="E126" s="166"/>
      <c r="F126" s="166"/>
      <c r="AC126" s="171"/>
      <c r="AD126" s="171"/>
      <c r="AE126" s="211"/>
      <c r="AF126" s="181"/>
      <c r="AG126" s="181"/>
      <c r="AH126" s="181"/>
      <c r="AI126" s="181"/>
      <c r="AJ126" s="181"/>
      <c r="AK126" s="181"/>
    </row>
    <row r="127" spans="1:37" ht="14.25" customHeight="1" x14ac:dyDescent="0.2">
      <c r="A127" s="199" t="s">
        <v>206</v>
      </c>
      <c r="B127" s="200" t="s">
        <v>207</v>
      </c>
      <c r="C127" s="201"/>
      <c r="D127" s="166"/>
      <c r="E127" s="166"/>
      <c r="F127" s="166"/>
      <c r="AC127" s="171"/>
      <c r="AD127" s="171"/>
      <c r="AE127" s="171"/>
      <c r="AF127" s="171"/>
      <c r="AG127" s="171"/>
      <c r="AH127" s="171"/>
      <c r="AI127" s="171"/>
      <c r="AJ127" s="171"/>
      <c r="AK127" s="171"/>
    </row>
    <row r="128" spans="1:37" ht="14.25" customHeight="1" x14ac:dyDescent="0.2">
      <c r="A128" s="199" t="s">
        <v>208</v>
      </c>
      <c r="B128" s="200" t="s">
        <v>207</v>
      </c>
      <c r="C128" s="201"/>
      <c r="D128" s="166"/>
      <c r="E128" s="166"/>
      <c r="F128" s="166"/>
      <c r="AC128" s="171"/>
      <c r="AD128" s="171"/>
      <c r="AE128" s="167"/>
      <c r="AF128" s="167"/>
      <c r="AG128" s="167"/>
      <c r="AH128" s="167"/>
      <c r="AI128" s="167"/>
      <c r="AJ128" s="167"/>
      <c r="AK128" s="167"/>
    </row>
    <row r="129" spans="1:37" ht="18.75" customHeight="1" x14ac:dyDescent="0.2">
      <c r="A129" s="613" t="s">
        <v>209</v>
      </c>
      <c r="B129" s="614"/>
      <c r="C129" s="615"/>
      <c r="D129" s="615"/>
      <c r="E129" s="615"/>
      <c r="F129" s="615"/>
      <c r="AC129" s="171"/>
      <c r="AD129" s="171"/>
      <c r="AE129" s="167"/>
      <c r="AF129" s="167"/>
      <c r="AG129" s="167"/>
      <c r="AH129" s="167"/>
      <c r="AI129" s="167"/>
      <c r="AJ129" s="167"/>
      <c r="AK129" s="167"/>
    </row>
    <row r="130" spans="1:37" ht="14.25" customHeight="1" x14ac:dyDescent="0.2">
      <c r="A130" s="199" t="s">
        <v>210</v>
      </c>
      <c r="B130" s="200"/>
      <c r="C130" s="213"/>
      <c r="D130" s="213"/>
      <c r="E130" s="213"/>
      <c r="F130" s="213"/>
    </row>
    <row r="131" spans="1:37" ht="14.25" customHeight="1" x14ac:dyDescent="0.2">
      <c r="A131" s="199" t="s">
        <v>211</v>
      </c>
      <c r="B131" s="200" t="s">
        <v>212</v>
      </c>
      <c r="C131" s="213"/>
      <c r="D131" s="213"/>
      <c r="E131" s="213"/>
      <c r="F131" s="213"/>
    </row>
    <row r="132" spans="1:37" ht="14.25" customHeight="1" x14ac:dyDescent="0.2">
      <c r="A132" s="199" t="s">
        <v>213</v>
      </c>
      <c r="B132" s="200" t="s">
        <v>214</v>
      </c>
      <c r="C132" s="213"/>
      <c r="D132" s="213"/>
      <c r="E132" s="213"/>
      <c r="F132" s="213"/>
    </row>
    <row r="133" spans="1:37" ht="14.25" customHeight="1" x14ac:dyDescent="0.2">
      <c r="A133" s="199" t="s">
        <v>215</v>
      </c>
      <c r="B133" s="200"/>
      <c r="C133" s="213"/>
      <c r="D133" s="213"/>
      <c r="E133" s="213"/>
      <c r="F133" s="213"/>
    </row>
    <row r="134" spans="1:37" ht="14.25" customHeight="1" x14ac:dyDescent="0.2">
      <c r="A134" s="216" t="s">
        <v>216</v>
      </c>
      <c r="B134" s="217" t="s">
        <v>156</v>
      </c>
      <c r="C134" s="213"/>
      <c r="D134" s="213"/>
      <c r="E134" s="213"/>
      <c r="F134" s="213"/>
    </row>
    <row r="135" spans="1:37" ht="14.25" customHeight="1" x14ac:dyDescent="0.2">
      <c r="A135" s="199" t="s">
        <v>217</v>
      </c>
      <c r="B135" s="200" t="s">
        <v>218</v>
      </c>
      <c r="C135" s="218"/>
      <c r="D135" s="218"/>
      <c r="E135" s="218"/>
      <c r="F135" s="218"/>
    </row>
    <row r="136" spans="1:37" ht="14.25" customHeight="1" x14ac:dyDescent="0.2">
      <c r="A136" s="199" t="s">
        <v>219</v>
      </c>
      <c r="B136" s="219" t="s">
        <v>220</v>
      </c>
      <c r="C136" s="213"/>
      <c r="D136" s="213"/>
      <c r="E136" s="213"/>
      <c r="F136" s="213"/>
    </row>
    <row r="137" spans="1:37" ht="14.25" customHeight="1" x14ac:dyDescent="0.2">
      <c r="A137" s="199" t="s">
        <v>221</v>
      </c>
      <c r="B137" s="200"/>
      <c r="C137" s="220"/>
      <c r="D137" s="220"/>
      <c r="E137" s="220"/>
      <c r="F137" s="220"/>
    </row>
    <row r="138" spans="1:37" ht="14.25" customHeight="1" x14ac:dyDescent="0.2">
      <c r="A138" s="199" t="s">
        <v>222</v>
      </c>
      <c r="B138" s="206" t="s">
        <v>223</v>
      </c>
      <c r="C138" s="213"/>
      <c r="D138" s="213"/>
      <c r="E138" s="213"/>
      <c r="F138" s="213"/>
    </row>
    <row r="139" spans="1:37" ht="14.25" customHeight="1" x14ac:dyDescent="0.2">
      <c r="A139" s="199" t="s">
        <v>224</v>
      </c>
      <c r="B139" s="206" t="s">
        <v>223</v>
      </c>
      <c r="C139" s="213"/>
      <c r="D139" s="213"/>
      <c r="E139" s="213"/>
      <c r="F139" s="213"/>
    </row>
    <row r="140" spans="1:37" ht="14.25" customHeight="1" x14ac:dyDescent="0.2">
      <c r="A140" s="199" t="s">
        <v>225</v>
      </c>
      <c r="B140" s="206" t="s">
        <v>223</v>
      </c>
      <c r="C140" s="213"/>
      <c r="D140" s="213"/>
      <c r="E140" s="213"/>
      <c r="F140" s="213"/>
    </row>
    <row r="141" spans="1:37" ht="14.25" customHeight="1" x14ac:dyDescent="0.2">
      <c r="A141" s="199" t="s">
        <v>226</v>
      </c>
      <c r="B141" s="200" t="s">
        <v>227</v>
      </c>
      <c r="C141" s="213"/>
      <c r="D141" s="213"/>
      <c r="E141" s="213"/>
      <c r="F141" s="213"/>
    </row>
    <row r="142" spans="1:37" ht="14.25" customHeight="1" x14ac:dyDescent="0.2">
      <c r="A142" s="216" t="s">
        <v>228</v>
      </c>
      <c r="B142" s="217" t="s">
        <v>229</v>
      </c>
      <c r="C142" s="213"/>
      <c r="D142" s="213"/>
      <c r="E142" s="213"/>
      <c r="F142" s="213"/>
    </row>
    <row r="143" spans="1:37" ht="14.25" customHeight="1" x14ac:dyDescent="0.2">
      <c r="A143" s="199" t="s">
        <v>230</v>
      </c>
      <c r="B143" s="200" t="s">
        <v>218</v>
      </c>
      <c r="C143" s="213"/>
      <c r="D143" s="213"/>
      <c r="E143" s="213"/>
      <c r="F143" s="213"/>
    </row>
    <row r="144" spans="1:37" ht="14.25" customHeight="1" x14ac:dyDescent="0.2">
      <c r="A144" s="623" t="s">
        <v>231</v>
      </c>
      <c r="B144" s="624"/>
      <c r="C144" s="213"/>
      <c r="D144" s="213"/>
      <c r="E144" s="213"/>
      <c r="F144" s="213"/>
    </row>
    <row r="145" spans="1:6" ht="14.25" customHeight="1" x14ac:dyDescent="0.2">
      <c r="A145" s="623" t="s">
        <v>232</v>
      </c>
      <c r="B145" s="624"/>
      <c r="C145" s="213"/>
      <c r="D145" s="213"/>
      <c r="E145" s="213"/>
      <c r="F145" s="213"/>
    </row>
    <row r="146" spans="1:6" ht="5.25" customHeight="1" x14ac:dyDescent="0.2"/>
    <row r="147" spans="1:6" ht="31.5" customHeight="1" x14ac:dyDescent="0.2">
      <c r="A147" s="625" t="s">
        <v>233</v>
      </c>
      <c r="B147" s="626"/>
      <c r="C147" s="626"/>
      <c r="D147" s="626"/>
      <c r="E147" s="626"/>
      <c r="F147" s="626"/>
    </row>
    <row r="148" spans="1:6" ht="22.5" customHeight="1" x14ac:dyDescent="0.2">
      <c r="A148" s="627"/>
      <c r="B148" s="628"/>
      <c r="C148" s="230"/>
      <c r="D148" s="230"/>
      <c r="E148" s="230"/>
      <c r="F148" s="230"/>
    </row>
    <row r="149" spans="1:6" ht="19.5" customHeight="1" x14ac:dyDescent="0.2">
      <c r="A149" s="629" t="s">
        <v>185</v>
      </c>
      <c r="B149" s="630"/>
      <c r="C149" s="198"/>
      <c r="D149" s="198"/>
      <c r="E149" s="198"/>
      <c r="F149" s="198"/>
    </row>
    <row r="150" spans="1:6" ht="36.75" customHeight="1" x14ac:dyDescent="0.2">
      <c r="A150" s="631" t="s">
        <v>234</v>
      </c>
      <c r="B150" s="632"/>
      <c r="C150" s="231"/>
      <c r="D150" s="231"/>
      <c r="E150" s="231"/>
      <c r="F150" s="231"/>
    </row>
    <row r="151" spans="1:6" ht="36.75" customHeight="1" x14ac:dyDescent="0.2">
      <c r="A151" s="631" t="s">
        <v>235</v>
      </c>
      <c r="B151" s="632"/>
      <c r="C151" s="231"/>
      <c r="D151" s="231"/>
      <c r="E151" s="231"/>
      <c r="F151" s="231"/>
    </row>
    <row r="152" spans="1:6" ht="36.75" customHeight="1" x14ac:dyDescent="0.2">
      <c r="A152" s="631" t="s">
        <v>236</v>
      </c>
      <c r="B152" s="632"/>
      <c r="C152" s="231"/>
      <c r="D152" s="231"/>
      <c r="E152" s="231"/>
      <c r="F152" s="231"/>
    </row>
    <row r="153" spans="1:6" ht="38.25" customHeight="1" x14ac:dyDescent="0.2">
      <c r="A153" s="631" t="s">
        <v>237</v>
      </c>
      <c r="B153" s="632"/>
      <c r="C153" s="231"/>
      <c r="D153" s="231"/>
      <c r="E153" s="231"/>
      <c r="F153" s="231"/>
    </row>
    <row r="154" spans="1:6" ht="36.75" customHeight="1" x14ac:dyDescent="0.2">
      <c r="A154" s="631" t="s">
        <v>238</v>
      </c>
      <c r="B154" s="632"/>
      <c r="C154" s="231"/>
      <c r="D154" s="231"/>
      <c r="E154" s="231"/>
      <c r="F154" s="231"/>
    </row>
    <row r="155" spans="1:6" ht="36.75" customHeight="1" x14ac:dyDescent="0.2">
      <c r="A155" s="631" t="s">
        <v>239</v>
      </c>
      <c r="B155" s="632"/>
      <c r="C155" s="231"/>
      <c r="D155" s="231"/>
      <c r="E155" s="231"/>
      <c r="F155" s="231"/>
    </row>
    <row r="156" spans="1:6" ht="36.75" customHeight="1" x14ac:dyDescent="0.2">
      <c r="A156" s="631" t="s">
        <v>240</v>
      </c>
      <c r="B156" s="632"/>
      <c r="C156" s="231"/>
      <c r="D156" s="231"/>
      <c r="E156" s="231"/>
      <c r="F156" s="231"/>
    </row>
    <row r="157" spans="1:6" ht="36.75" customHeight="1" x14ac:dyDescent="0.2">
      <c r="A157" s="631" t="s">
        <v>241</v>
      </c>
      <c r="B157" s="632"/>
      <c r="C157" s="231"/>
      <c r="D157" s="231"/>
      <c r="E157" s="231"/>
      <c r="F157" s="231"/>
    </row>
    <row r="158" spans="1:6" ht="36.75" customHeight="1" x14ac:dyDescent="0.2">
      <c r="A158" s="631" t="s">
        <v>242</v>
      </c>
      <c r="B158" s="632"/>
      <c r="C158" s="231"/>
      <c r="D158" s="231"/>
      <c r="E158" s="231"/>
      <c r="F158" s="231"/>
    </row>
    <row r="159" spans="1:6" ht="36.75" customHeight="1" x14ac:dyDescent="0.2">
      <c r="A159" s="631" t="s">
        <v>243</v>
      </c>
      <c r="B159" s="632"/>
      <c r="C159" s="231"/>
      <c r="D159" s="231"/>
      <c r="E159" s="231"/>
      <c r="F159" s="231"/>
    </row>
    <row r="160" spans="1:6" ht="36.75" customHeight="1" x14ac:dyDescent="0.2">
      <c r="A160" s="631" t="s">
        <v>244</v>
      </c>
      <c r="B160" s="632"/>
      <c r="C160" s="231"/>
      <c r="D160" s="231"/>
      <c r="E160" s="231"/>
      <c r="F160" s="231"/>
    </row>
    <row r="161" spans="1:6" ht="36.75" customHeight="1" x14ac:dyDescent="0.2">
      <c r="A161" s="631" t="s">
        <v>245</v>
      </c>
      <c r="B161" s="632"/>
      <c r="C161" s="231"/>
      <c r="D161" s="231"/>
      <c r="E161" s="231"/>
      <c r="F161" s="231"/>
    </row>
    <row r="162" spans="1:6" ht="36.75" customHeight="1" x14ac:dyDescent="0.2">
      <c r="A162" s="631" t="s">
        <v>246</v>
      </c>
      <c r="B162" s="632"/>
      <c r="C162" s="231"/>
      <c r="D162" s="231"/>
      <c r="E162" s="231"/>
      <c r="F162" s="231"/>
    </row>
    <row r="163" spans="1:6" ht="15.75" customHeight="1" x14ac:dyDescent="0.2">
      <c r="A163" s="635" t="s">
        <v>247</v>
      </c>
      <c r="B163" s="615"/>
      <c r="C163" s="615"/>
      <c r="D163" s="615"/>
      <c r="E163" s="615"/>
      <c r="F163" s="615"/>
    </row>
    <row r="164" spans="1:6" ht="12.75" customHeight="1" x14ac:dyDescent="0.2">
      <c r="A164" s="199" t="s">
        <v>248</v>
      </c>
      <c r="B164" s="200" t="s">
        <v>249</v>
      </c>
      <c r="C164" s="218"/>
      <c r="D164" s="218"/>
      <c r="E164" s="218"/>
      <c r="F164" s="218"/>
    </row>
    <row r="165" spans="1:6" ht="12.75" customHeight="1" x14ac:dyDescent="0.2">
      <c r="A165" s="199" t="s">
        <v>250</v>
      </c>
      <c r="B165" s="200" t="s">
        <v>249</v>
      </c>
      <c r="C165" s="213"/>
      <c r="D165" s="213"/>
      <c r="E165" s="213"/>
      <c r="F165" s="213"/>
    </row>
    <row r="166" spans="1:6" ht="12.75" customHeight="1" x14ac:dyDescent="0.2">
      <c r="A166" s="199" t="s">
        <v>251</v>
      </c>
      <c r="B166" s="200" t="s">
        <v>249</v>
      </c>
      <c r="C166" s="213"/>
      <c r="D166" s="213"/>
      <c r="E166" s="213"/>
      <c r="F166" s="213"/>
    </row>
    <row r="167" spans="1:6" ht="12.75" customHeight="1" x14ac:dyDescent="0.2">
      <c r="A167" s="199" t="s">
        <v>252</v>
      </c>
      <c r="B167" s="200" t="s">
        <v>249</v>
      </c>
      <c r="C167" s="213"/>
      <c r="D167" s="213"/>
      <c r="E167" s="213"/>
      <c r="F167" s="213"/>
    </row>
    <row r="168" spans="1:6" ht="12.75" customHeight="1" x14ac:dyDescent="0.2">
      <c r="A168" s="199" t="s">
        <v>253</v>
      </c>
      <c r="B168" s="200" t="s">
        <v>249</v>
      </c>
      <c r="C168" s="213"/>
      <c r="D168" s="213"/>
      <c r="E168" s="213"/>
      <c r="F168" s="213"/>
    </row>
    <row r="169" spans="1:6" ht="12.75" customHeight="1" x14ac:dyDescent="0.2">
      <c r="A169" s="199" t="s">
        <v>254</v>
      </c>
      <c r="B169" s="200" t="s">
        <v>249</v>
      </c>
      <c r="C169" s="213"/>
      <c r="D169" s="213"/>
      <c r="E169" s="213"/>
      <c r="F169" s="213"/>
    </row>
    <row r="170" spans="1:6" ht="12.75" customHeight="1" x14ac:dyDescent="0.2">
      <c r="A170" s="199" t="s">
        <v>255</v>
      </c>
      <c r="B170" s="200" t="s">
        <v>249</v>
      </c>
      <c r="C170" s="213"/>
      <c r="D170" s="213"/>
      <c r="E170" s="213"/>
      <c r="F170" s="213"/>
    </row>
    <row r="171" spans="1:6" ht="12.75" customHeight="1" x14ac:dyDescent="0.2">
      <c r="A171" s="199" t="s">
        <v>256</v>
      </c>
      <c r="B171" s="200" t="s">
        <v>249</v>
      </c>
      <c r="C171" s="213"/>
      <c r="D171" s="213"/>
      <c r="E171" s="213"/>
      <c r="F171" s="213"/>
    </row>
    <row r="172" spans="1:6" ht="15.75" customHeight="1" x14ac:dyDescent="0.2">
      <c r="A172" s="635" t="s">
        <v>257</v>
      </c>
      <c r="B172" s="615"/>
      <c r="C172" s="615"/>
      <c r="D172" s="615"/>
      <c r="E172" s="615"/>
      <c r="F172" s="615"/>
    </row>
    <row r="173" spans="1:6" ht="12.75" customHeight="1" x14ac:dyDescent="0.2">
      <c r="A173" s="623" t="s">
        <v>258</v>
      </c>
      <c r="B173" s="624"/>
      <c r="C173" s="209"/>
      <c r="D173" s="209"/>
      <c r="E173" s="209"/>
      <c r="F173" s="209"/>
    </row>
    <row r="174" spans="1:6" ht="12.75" customHeight="1" x14ac:dyDescent="0.2">
      <c r="A174" s="623" t="s">
        <v>259</v>
      </c>
      <c r="B174" s="624"/>
      <c r="C174" s="209"/>
      <c r="D174" s="209"/>
      <c r="E174" s="209"/>
      <c r="F174" s="209"/>
    </row>
    <row r="175" spans="1:6" ht="12.75" customHeight="1" x14ac:dyDescent="0.2">
      <c r="A175" s="623" t="s">
        <v>260</v>
      </c>
      <c r="B175" s="624"/>
      <c r="C175" s="232"/>
      <c r="D175" s="232"/>
      <c r="E175" s="232"/>
      <c r="F175" s="232"/>
    </row>
    <row r="176" spans="1:6" ht="15.75" customHeight="1" x14ac:dyDescent="0.2">
      <c r="A176" s="635" t="s">
        <v>261</v>
      </c>
      <c r="B176" s="615"/>
      <c r="C176" s="615"/>
      <c r="D176" s="615"/>
      <c r="E176" s="615"/>
      <c r="F176" s="615"/>
    </row>
    <row r="177" spans="1:6" ht="12.75" customHeight="1" x14ac:dyDescent="0.2">
      <c r="A177" s="623" t="s">
        <v>262</v>
      </c>
      <c r="B177" s="624"/>
      <c r="C177" s="233"/>
      <c r="D177" s="233"/>
      <c r="E177" s="233"/>
      <c r="F177" s="233"/>
    </row>
    <row r="178" spans="1:6" ht="12.75" customHeight="1" x14ac:dyDescent="0.2">
      <c r="A178" s="623" t="s">
        <v>263</v>
      </c>
      <c r="B178" s="624"/>
      <c r="C178" s="233"/>
      <c r="D178" s="233"/>
      <c r="E178" s="233"/>
      <c r="F178" s="233"/>
    </row>
    <row r="179" spans="1:6" ht="12.75" customHeight="1" x14ac:dyDescent="0.2">
      <c r="A179" s="623" t="s">
        <v>250</v>
      </c>
      <c r="B179" s="624"/>
      <c r="C179" s="233"/>
      <c r="D179" s="233"/>
      <c r="E179" s="233"/>
      <c r="F179" s="233"/>
    </row>
    <row r="180" spans="1:6" ht="12.75" customHeight="1" x14ac:dyDescent="0.2">
      <c r="A180" s="623" t="s">
        <v>251</v>
      </c>
      <c r="B180" s="624"/>
      <c r="C180" s="233"/>
      <c r="D180" s="233"/>
      <c r="E180" s="233"/>
      <c r="F180" s="233"/>
    </row>
    <row r="181" spans="1:6" ht="12.75" customHeight="1" x14ac:dyDescent="0.2">
      <c r="A181" s="623" t="s">
        <v>252</v>
      </c>
      <c r="B181" s="624"/>
      <c r="C181" s="233"/>
      <c r="D181" s="233"/>
      <c r="E181" s="233"/>
      <c r="F181" s="233"/>
    </row>
    <row r="182" spans="1:6" ht="12.75" customHeight="1" x14ac:dyDescent="0.2">
      <c r="A182" s="623" t="s">
        <v>253</v>
      </c>
      <c r="B182" s="624"/>
      <c r="C182" s="233"/>
      <c r="D182" s="233"/>
      <c r="E182" s="233"/>
      <c r="F182" s="233"/>
    </row>
    <row r="183" spans="1:6" ht="12.75" customHeight="1" x14ac:dyDescent="0.2">
      <c r="A183" s="623" t="s">
        <v>264</v>
      </c>
      <c r="B183" s="624"/>
      <c r="C183" s="233"/>
      <c r="D183" s="233"/>
      <c r="E183" s="233"/>
      <c r="F183" s="233"/>
    </row>
    <row r="184" spans="1:6" ht="12.75" customHeight="1" x14ac:dyDescent="0.2">
      <c r="A184" s="623" t="s">
        <v>265</v>
      </c>
      <c r="B184" s="624"/>
      <c r="C184" s="213"/>
      <c r="D184" s="213"/>
      <c r="E184" s="213"/>
      <c r="F184" s="213"/>
    </row>
    <row r="185" spans="1:6" ht="15.75" customHeight="1" x14ac:dyDescent="0.2">
      <c r="A185" s="635" t="s">
        <v>266</v>
      </c>
      <c r="B185" s="615"/>
      <c r="C185" s="615"/>
      <c r="D185" s="615"/>
      <c r="E185" s="615"/>
      <c r="F185" s="615"/>
    </row>
    <row r="186" spans="1:6" ht="12.75" customHeight="1" x14ac:dyDescent="0.2">
      <c r="A186" s="623" t="s">
        <v>267</v>
      </c>
      <c r="B186" s="624"/>
      <c r="C186" s="213"/>
      <c r="D186" s="213"/>
      <c r="E186" s="213"/>
      <c r="F186" s="213"/>
    </row>
    <row r="187" spans="1:6" ht="12.75" customHeight="1" x14ac:dyDescent="0.2">
      <c r="A187" s="636" t="s">
        <v>268</v>
      </c>
      <c r="B187" s="637"/>
      <c r="C187" s="213"/>
      <c r="D187" s="213"/>
      <c r="E187" s="213"/>
      <c r="F187" s="213"/>
    </row>
    <row r="188" spans="1:6" ht="12.75" customHeight="1" x14ac:dyDescent="0.2">
      <c r="A188" s="623" t="s">
        <v>269</v>
      </c>
      <c r="B188" s="624"/>
      <c r="C188" s="213"/>
      <c r="D188" s="213"/>
      <c r="E188" s="213"/>
      <c r="F188" s="213"/>
    </row>
    <row r="189" spans="1:6" ht="12.75" customHeight="1" x14ac:dyDescent="0.2">
      <c r="A189" s="623" t="s">
        <v>269</v>
      </c>
      <c r="B189" s="624"/>
      <c r="C189" s="213"/>
      <c r="D189" s="213"/>
      <c r="E189" s="213"/>
      <c r="F189" s="213"/>
    </row>
    <row r="190" spans="1:6" ht="12.75" customHeight="1" x14ac:dyDescent="0.2">
      <c r="A190" s="623" t="s">
        <v>269</v>
      </c>
      <c r="B190" s="624"/>
      <c r="C190" s="213"/>
      <c r="D190" s="213"/>
      <c r="E190" s="213"/>
      <c r="F190" s="213"/>
    </row>
    <row r="191" spans="1:6" ht="12.75" customHeight="1" x14ac:dyDescent="0.2">
      <c r="A191" s="623" t="s">
        <v>269</v>
      </c>
      <c r="B191" s="624"/>
      <c r="C191" s="213"/>
      <c r="D191" s="213"/>
      <c r="E191" s="213"/>
      <c r="F191" s="213"/>
    </row>
    <row r="192" spans="1:6" ht="12.75" customHeight="1" x14ac:dyDescent="0.2">
      <c r="A192" s="623" t="s">
        <v>270</v>
      </c>
      <c r="B192" s="624"/>
      <c r="C192" s="213"/>
      <c r="D192" s="213"/>
      <c r="E192" s="213"/>
      <c r="F192" s="213"/>
    </row>
    <row r="193" spans="1:6" ht="12.75" customHeight="1" x14ac:dyDescent="0.2">
      <c r="A193" s="623" t="s">
        <v>271</v>
      </c>
      <c r="B193" s="624"/>
      <c r="C193" s="213"/>
      <c r="D193" s="213"/>
      <c r="E193" s="213"/>
      <c r="F193" s="213"/>
    </row>
    <row r="194" spans="1:6" ht="5.25" customHeight="1" x14ac:dyDescent="0.2"/>
    <row r="195" spans="1:6" ht="31.5" customHeight="1" x14ac:dyDescent="0.2">
      <c r="A195" s="625" t="s">
        <v>233</v>
      </c>
      <c r="B195" s="626"/>
      <c r="C195" s="626"/>
      <c r="D195" s="626"/>
      <c r="E195" s="626"/>
      <c r="F195" s="626"/>
    </row>
    <row r="196" spans="1:6" ht="22.5" customHeight="1" x14ac:dyDescent="0.2">
      <c r="A196" s="627"/>
      <c r="B196" s="628"/>
      <c r="C196" s="230"/>
      <c r="D196" s="230"/>
      <c r="E196" s="230"/>
      <c r="F196" s="230"/>
    </row>
    <row r="197" spans="1:6" ht="19.5" customHeight="1" x14ac:dyDescent="0.2">
      <c r="A197" s="629" t="s">
        <v>185</v>
      </c>
      <c r="B197" s="630"/>
      <c r="C197" s="198"/>
      <c r="D197" s="198"/>
      <c r="E197" s="198"/>
      <c r="F197" s="198"/>
    </row>
    <row r="198" spans="1:6" ht="36.75" customHeight="1" x14ac:dyDescent="0.2">
      <c r="A198" s="631" t="s">
        <v>234</v>
      </c>
      <c r="B198" s="632"/>
      <c r="C198" s="231"/>
      <c r="D198" s="231"/>
      <c r="E198" s="231"/>
      <c r="F198" s="231"/>
    </row>
    <row r="199" spans="1:6" ht="36.75" customHeight="1" x14ac:dyDescent="0.2">
      <c r="A199" s="631" t="s">
        <v>235</v>
      </c>
      <c r="B199" s="632"/>
      <c r="C199" s="231"/>
      <c r="D199" s="231"/>
      <c r="E199" s="231"/>
      <c r="F199" s="231"/>
    </row>
    <row r="200" spans="1:6" ht="36.75" customHeight="1" x14ac:dyDescent="0.2">
      <c r="A200" s="631" t="s">
        <v>236</v>
      </c>
      <c r="B200" s="632"/>
      <c r="C200" s="231"/>
      <c r="D200" s="231"/>
      <c r="E200" s="231"/>
      <c r="F200" s="231"/>
    </row>
    <row r="201" spans="1:6" ht="33" customHeight="1" x14ac:dyDescent="0.2">
      <c r="A201" s="631" t="s">
        <v>237</v>
      </c>
      <c r="B201" s="632"/>
      <c r="C201" s="231"/>
      <c r="D201" s="231"/>
      <c r="E201" s="231"/>
      <c r="F201" s="231"/>
    </row>
    <row r="202" spans="1:6" ht="36.75" customHeight="1" x14ac:dyDescent="0.2">
      <c r="A202" s="631" t="s">
        <v>238</v>
      </c>
      <c r="B202" s="632"/>
      <c r="C202" s="231"/>
      <c r="D202" s="231"/>
      <c r="E202" s="231"/>
      <c r="F202" s="231"/>
    </row>
    <row r="203" spans="1:6" ht="36.75" customHeight="1" x14ac:dyDescent="0.2">
      <c r="A203" s="631" t="s">
        <v>239</v>
      </c>
      <c r="B203" s="632"/>
      <c r="C203" s="231"/>
      <c r="D203" s="231"/>
      <c r="E203" s="231"/>
      <c r="F203" s="231"/>
    </row>
    <row r="204" spans="1:6" ht="36.75" customHeight="1" x14ac:dyDescent="0.2">
      <c r="A204" s="631" t="s">
        <v>240</v>
      </c>
      <c r="B204" s="632"/>
      <c r="C204" s="231"/>
      <c r="D204" s="231"/>
      <c r="E204" s="231"/>
      <c r="F204" s="231"/>
    </row>
    <row r="205" spans="1:6" ht="36.75" customHeight="1" x14ac:dyDescent="0.2">
      <c r="A205" s="631" t="s">
        <v>241</v>
      </c>
      <c r="B205" s="632"/>
      <c r="C205" s="231"/>
      <c r="D205" s="231"/>
      <c r="E205" s="231"/>
      <c r="F205" s="231"/>
    </row>
    <row r="206" spans="1:6" ht="36.75" customHeight="1" x14ac:dyDescent="0.2">
      <c r="A206" s="631" t="s">
        <v>242</v>
      </c>
      <c r="B206" s="632"/>
      <c r="C206" s="231"/>
      <c r="D206" s="231"/>
      <c r="E206" s="231"/>
      <c r="F206" s="231"/>
    </row>
    <row r="207" spans="1:6" ht="36.75" customHeight="1" x14ac:dyDescent="0.2">
      <c r="A207" s="631" t="s">
        <v>243</v>
      </c>
      <c r="B207" s="632"/>
      <c r="C207" s="231"/>
      <c r="D207" s="231"/>
      <c r="E207" s="231"/>
      <c r="F207" s="231"/>
    </row>
    <row r="208" spans="1:6" ht="36.75" customHeight="1" x14ac:dyDescent="0.2">
      <c r="A208" s="631" t="s">
        <v>244</v>
      </c>
      <c r="B208" s="632"/>
      <c r="C208" s="231"/>
      <c r="D208" s="231"/>
      <c r="E208" s="231"/>
      <c r="F208" s="231"/>
    </row>
    <row r="209" spans="1:6" ht="36.75" customHeight="1" x14ac:dyDescent="0.2">
      <c r="A209" s="631" t="s">
        <v>245</v>
      </c>
      <c r="B209" s="632"/>
      <c r="C209" s="231"/>
      <c r="D209" s="231"/>
      <c r="E209" s="231"/>
      <c r="F209" s="231"/>
    </row>
    <row r="210" spans="1:6" ht="36.75" customHeight="1" x14ac:dyDescent="0.2">
      <c r="A210" s="631" t="s">
        <v>246</v>
      </c>
      <c r="B210" s="632"/>
      <c r="C210" s="231"/>
      <c r="D210" s="231"/>
      <c r="E210" s="231"/>
      <c r="F210" s="231"/>
    </row>
    <row r="211" spans="1:6" ht="15.75" customHeight="1" x14ac:dyDescent="0.2">
      <c r="A211" s="635" t="s">
        <v>247</v>
      </c>
      <c r="B211" s="615"/>
      <c r="C211" s="615"/>
      <c r="D211" s="615"/>
      <c r="E211" s="615"/>
      <c r="F211" s="615"/>
    </row>
    <row r="212" spans="1:6" ht="12.75" customHeight="1" x14ac:dyDescent="0.2">
      <c r="A212" s="199" t="s">
        <v>248</v>
      </c>
      <c r="B212" s="200" t="s">
        <v>249</v>
      </c>
      <c r="C212" s="218"/>
      <c r="D212" s="218"/>
      <c r="E212" s="218"/>
      <c r="F212" s="218"/>
    </row>
    <row r="213" spans="1:6" ht="12.75" customHeight="1" x14ac:dyDescent="0.2">
      <c r="A213" s="199" t="s">
        <v>250</v>
      </c>
      <c r="B213" s="200" t="s">
        <v>249</v>
      </c>
      <c r="C213" s="213"/>
      <c r="D213" s="213"/>
      <c r="E213" s="213"/>
      <c r="F213" s="213"/>
    </row>
    <row r="214" spans="1:6" ht="12.75" customHeight="1" x14ac:dyDescent="0.2">
      <c r="A214" s="199" t="s">
        <v>251</v>
      </c>
      <c r="B214" s="200" t="s">
        <v>249</v>
      </c>
      <c r="C214" s="213"/>
      <c r="D214" s="213"/>
      <c r="E214" s="213"/>
      <c r="F214" s="213"/>
    </row>
    <row r="215" spans="1:6" ht="12.75" customHeight="1" x14ac:dyDescent="0.2">
      <c r="A215" s="199" t="s">
        <v>252</v>
      </c>
      <c r="B215" s="200" t="s">
        <v>249</v>
      </c>
      <c r="C215" s="213"/>
      <c r="D215" s="213"/>
      <c r="E215" s="213"/>
      <c r="F215" s="213"/>
    </row>
    <row r="216" spans="1:6" ht="12.75" customHeight="1" x14ac:dyDescent="0.2">
      <c r="A216" s="199" t="s">
        <v>253</v>
      </c>
      <c r="B216" s="200" t="s">
        <v>249</v>
      </c>
      <c r="C216" s="213"/>
      <c r="D216" s="213"/>
      <c r="E216" s="213"/>
      <c r="F216" s="213"/>
    </row>
    <row r="217" spans="1:6" ht="12.75" customHeight="1" x14ac:dyDescent="0.2">
      <c r="A217" s="199" t="s">
        <v>254</v>
      </c>
      <c r="B217" s="200" t="s">
        <v>249</v>
      </c>
      <c r="C217" s="213"/>
      <c r="D217" s="213"/>
      <c r="E217" s="213"/>
      <c r="F217" s="213"/>
    </row>
    <row r="218" spans="1:6" ht="12.75" customHeight="1" x14ac:dyDescent="0.2">
      <c r="A218" s="199" t="s">
        <v>255</v>
      </c>
      <c r="B218" s="200" t="s">
        <v>249</v>
      </c>
      <c r="C218" s="213"/>
      <c r="D218" s="213"/>
      <c r="E218" s="213"/>
      <c r="F218" s="213"/>
    </row>
    <row r="219" spans="1:6" ht="12.75" customHeight="1" x14ac:dyDescent="0.2">
      <c r="A219" s="199" t="s">
        <v>256</v>
      </c>
      <c r="B219" s="200" t="s">
        <v>249</v>
      </c>
      <c r="C219" s="213"/>
      <c r="D219" s="213"/>
      <c r="E219" s="213"/>
      <c r="F219" s="213"/>
    </row>
    <row r="220" spans="1:6" ht="15.75" customHeight="1" x14ac:dyDescent="0.2">
      <c r="A220" s="635" t="s">
        <v>257</v>
      </c>
      <c r="B220" s="615"/>
      <c r="C220" s="615"/>
      <c r="D220" s="615"/>
      <c r="E220" s="615"/>
      <c r="F220" s="615"/>
    </row>
    <row r="221" spans="1:6" ht="12.75" customHeight="1" x14ac:dyDescent="0.2">
      <c r="A221" s="623" t="s">
        <v>258</v>
      </c>
      <c r="B221" s="624"/>
      <c r="C221" s="209"/>
      <c r="D221" s="218"/>
      <c r="E221" s="218"/>
      <c r="F221" s="218"/>
    </row>
    <row r="222" spans="1:6" ht="12.75" customHeight="1" x14ac:dyDescent="0.2">
      <c r="A222" s="623" t="s">
        <v>259</v>
      </c>
      <c r="B222" s="624"/>
      <c r="C222" s="209"/>
      <c r="D222" s="218"/>
      <c r="E222" s="218"/>
      <c r="F222" s="218"/>
    </row>
    <row r="223" spans="1:6" ht="12.75" customHeight="1" x14ac:dyDescent="0.2">
      <c r="A223" s="623" t="s">
        <v>260</v>
      </c>
      <c r="B223" s="624"/>
      <c r="C223" s="232"/>
      <c r="D223" s="218"/>
      <c r="E223" s="218"/>
      <c r="F223" s="218"/>
    </row>
    <row r="224" spans="1:6" ht="15.75" customHeight="1" x14ac:dyDescent="0.2">
      <c r="A224" s="635" t="s">
        <v>261</v>
      </c>
      <c r="B224" s="615"/>
      <c r="C224" s="615"/>
      <c r="D224" s="615"/>
      <c r="E224" s="615"/>
      <c r="F224" s="615"/>
    </row>
    <row r="225" spans="1:6" ht="12.75" customHeight="1" x14ac:dyDescent="0.2">
      <c r="A225" s="623" t="s">
        <v>262</v>
      </c>
      <c r="B225" s="624"/>
      <c r="C225" s="233"/>
      <c r="D225" s="233"/>
      <c r="E225" s="233"/>
      <c r="F225" s="233"/>
    </row>
    <row r="226" spans="1:6" ht="12.75" customHeight="1" x14ac:dyDescent="0.2">
      <c r="A226" s="623" t="s">
        <v>263</v>
      </c>
      <c r="B226" s="624"/>
      <c r="C226" s="233"/>
      <c r="D226" s="233"/>
      <c r="E226" s="233"/>
      <c r="F226" s="233"/>
    </row>
    <row r="227" spans="1:6" ht="12.75" customHeight="1" x14ac:dyDescent="0.2">
      <c r="A227" s="623" t="s">
        <v>250</v>
      </c>
      <c r="B227" s="624"/>
      <c r="C227" s="233"/>
      <c r="D227" s="233"/>
      <c r="E227" s="233"/>
      <c r="F227" s="233"/>
    </row>
    <row r="228" spans="1:6" ht="12.75" customHeight="1" x14ac:dyDescent="0.2">
      <c r="A228" s="623" t="s">
        <v>251</v>
      </c>
      <c r="B228" s="624"/>
      <c r="C228" s="233"/>
      <c r="D228" s="233"/>
      <c r="E228" s="233"/>
      <c r="F228" s="233"/>
    </row>
    <row r="229" spans="1:6" ht="12.75" customHeight="1" x14ac:dyDescent="0.2">
      <c r="A229" s="623" t="s">
        <v>252</v>
      </c>
      <c r="B229" s="624"/>
      <c r="C229" s="233"/>
      <c r="D229" s="233"/>
      <c r="E229" s="233"/>
      <c r="F229" s="233"/>
    </row>
    <row r="230" spans="1:6" ht="12.75" customHeight="1" x14ac:dyDescent="0.2">
      <c r="A230" s="623" t="s">
        <v>253</v>
      </c>
      <c r="B230" s="624"/>
      <c r="C230" s="233"/>
      <c r="D230" s="233"/>
      <c r="E230" s="233"/>
      <c r="F230" s="233"/>
    </row>
    <row r="231" spans="1:6" ht="12.75" customHeight="1" x14ac:dyDescent="0.2">
      <c r="A231" s="623" t="s">
        <v>264</v>
      </c>
      <c r="B231" s="624"/>
      <c r="C231" s="233"/>
      <c r="D231" s="233"/>
      <c r="E231" s="233"/>
      <c r="F231" s="233"/>
    </row>
    <row r="232" spans="1:6" ht="12.75" customHeight="1" x14ac:dyDescent="0.2">
      <c r="A232" s="623" t="s">
        <v>265</v>
      </c>
      <c r="B232" s="624"/>
      <c r="C232" s="213"/>
      <c r="D232" s="213"/>
      <c r="E232" s="213"/>
      <c r="F232" s="213"/>
    </row>
    <row r="233" spans="1:6" ht="15.75" customHeight="1" x14ac:dyDescent="0.2">
      <c r="A233" s="635" t="s">
        <v>266</v>
      </c>
      <c r="B233" s="615"/>
      <c r="C233" s="615"/>
      <c r="D233" s="615"/>
      <c r="E233" s="615"/>
      <c r="F233" s="615"/>
    </row>
    <row r="234" spans="1:6" ht="12.75" customHeight="1" x14ac:dyDescent="0.2">
      <c r="A234" s="623" t="s">
        <v>267</v>
      </c>
      <c r="B234" s="624"/>
      <c r="C234" s="213"/>
      <c r="D234" s="213"/>
      <c r="E234" s="213"/>
      <c r="F234" s="213"/>
    </row>
    <row r="235" spans="1:6" ht="12.75" customHeight="1" x14ac:dyDescent="0.2">
      <c r="A235" s="636" t="s">
        <v>268</v>
      </c>
      <c r="B235" s="637"/>
      <c r="C235" s="213"/>
      <c r="D235" s="213"/>
      <c r="E235" s="213"/>
      <c r="F235" s="213"/>
    </row>
    <row r="236" spans="1:6" ht="12.75" customHeight="1" x14ac:dyDescent="0.2">
      <c r="A236" s="623" t="s">
        <v>269</v>
      </c>
      <c r="B236" s="624"/>
      <c r="C236" s="213"/>
      <c r="D236" s="213"/>
      <c r="E236" s="213"/>
      <c r="F236" s="213"/>
    </row>
    <row r="237" spans="1:6" ht="12.75" customHeight="1" x14ac:dyDescent="0.2">
      <c r="A237" s="623" t="s">
        <v>269</v>
      </c>
      <c r="B237" s="624"/>
      <c r="C237" s="213"/>
      <c r="D237" s="213"/>
      <c r="E237" s="213"/>
      <c r="F237" s="213"/>
    </row>
    <row r="238" spans="1:6" ht="12.75" customHeight="1" x14ac:dyDescent="0.2">
      <c r="A238" s="623" t="s">
        <v>269</v>
      </c>
      <c r="B238" s="624"/>
      <c r="C238" s="213"/>
      <c r="D238" s="213"/>
      <c r="E238" s="213"/>
      <c r="F238" s="213"/>
    </row>
    <row r="239" spans="1:6" ht="12.75" customHeight="1" x14ac:dyDescent="0.2">
      <c r="A239" s="623" t="s">
        <v>269</v>
      </c>
      <c r="B239" s="624"/>
      <c r="C239" s="213"/>
      <c r="D239" s="213"/>
      <c r="E239" s="213"/>
      <c r="F239" s="213"/>
    </row>
    <row r="240" spans="1:6" ht="12.75" customHeight="1" x14ac:dyDescent="0.2">
      <c r="A240" s="623" t="s">
        <v>270</v>
      </c>
      <c r="B240" s="624"/>
      <c r="C240" s="213"/>
      <c r="D240" s="213"/>
      <c r="E240" s="213"/>
      <c r="F240" s="213"/>
    </row>
    <row r="241" spans="1:6" ht="12.75" customHeight="1" x14ac:dyDescent="0.2">
      <c r="A241" s="623" t="s">
        <v>271</v>
      </c>
      <c r="B241" s="624"/>
      <c r="C241" s="213"/>
      <c r="D241" s="213"/>
      <c r="E241" s="213"/>
      <c r="F241" s="213"/>
    </row>
    <row r="242" spans="1:6" ht="5.25" customHeight="1" x14ac:dyDescent="0.2"/>
    <row r="243" spans="1:6" ht="31.5" customHeight="1" x14ac:dyDescent="0.2">
      <c r="A243" s="625" t="s">
        <v>233</v>
      </c>
      <c r="B243" s="626"/>
      <c r="C243" s="626"/>
      <c r="D243" s="626"/>
      <c r="E243" s="626"/>
      <c r="F243" s="626"/>
    </row>
    <row r="244" spans="1:6" ht="22.5" customHeight="1" x14ac:dyDescent="0.2">
      <c r="A244" s="627"/>
      <c r="B244" s="628"/>
      <c r="C244" s="230"/>
      <c r="D244" s="230"/>
      <c r="E244" s="230"/>
      <c r="F244" s="230"/>
    </row>
    <row r="245" spans="1:6" ht="19.5" customHeight="1" x14ac:dyDescent="0.2">
      <c r="A245" s="627" t="s">
        <v>185</v>
      </c>
      <c r="B245" s="628"/>
      <c r="C245" s="198"/>
      <c r="D245" s="198"/>
      <c r="E245" s="198"/>
      <c r="F245" s="198"/>
    </row>
    <row r="246" spans="1:6" ht="36.75" customHeight="1" x14ac:dyDescent="0.2">
      <c r="A246" s="631" t="s">
        <v>234</v>
      </c>
      <c r="B246" s="632"/>
      <c r="C246" s="231"/>
      <c r="D246" s="231"/>
      <c r="E246" s="231"/>
      <c r="F246" s="231"/>
    </row>
    <row r="247" spans="1:6" ht="36.75" customHeight="1" x14ac:dyDescent="0.2">
      <c r="A247" s="631" t="s">
        <v>235</v>
      </c>
      <c r="B247" s="632"/>
      <c r="C247" s="231"/>
      <c r="D247" s="231"/>
      <c r="E247" s="231"/>
      <c r="F247" s="231"/>
    </row>
    <row r="248" spans="1:6" ht="36.75" customHeight="1" x14ac:dyDescent="0.2">
      <c r="A248" s="631" t="s">
        <v>236</v>
      </c>
      <c r="B248" s="632"/>
      <c r="C248" s="231"/>
      <c r="D248" s="231"/>
      <c r="E248" s="231"/>
      <c r="F248" s="231"/>
    </row>
    <row r="249" spans="1:6" ht="38.25" customHeight="1" x14ac:dyDescent="0.2">
      <c r="A249" s="631" t="s">
        <v>237</v>
      </c>
      <c r="B249" s="632"/>
      <c r="C249" s="231"/>
      <c r="D249" s="231"/>
      <c r="E249" s="231"/>
      <c r="F249" s="231"/>
    </row>
    <row r="250" spans="1:6" ht="36.75" customHeight="1" x14ac:dyDescent="0.2">
      <c r="A250" s="631" t="s">
        <v>238</v>
      </c>
      <c r="B250" s="632"/>
      <c r="C250" s="231"/>
      <c r="D250" s="231"/>
      <c r="E250" s="231"/>
      <c r="F250" s="231"/>
    </row>
    <row r="251" spans="1:6" ht="36.75" customHeight="1" x14ac:dyDescent="0.2">
      <c r="A251" s="631" t="s">
        <v>239</v>
      </c>
      <c r="B251" s="632"/>
      <c r="C251" s="231"/>
      <c r="D251" s="231"/>
      <c r="E251" s="231"/>
      <c r="F251" s="231"/>
    </row>
    <row r="252" spans="1:6" ht="36.75" customHeight="1" x14ac:dyDescent="0.2">
      <c r="A252" s="631" t="s">
        <v>240</v>
      </c>
      <c r="B252" s="632"/>
      <c r="C252" s="231"/>
      <c r="D252" s="231"/>
      <c r="E252" s="231"/>
      <c r="F252" s="231"/>
    </row>
    <row r="253" spans="1:6" ht="36.75" customHeight="1" x14ac:dyDescent="0.2">
      <c r="A253" s="631" t="s">
        <v>241</v>
      </c>
      <c r="B253" s="632"/>
      <c r="C253" s="231"/>
      <c r="D253" s="231"/>
      <c r="E253" s="231"/>
      <c r="F253" s="231"/>
    </row>
    <row r="254" spans="1:6" ht="36.75" customHeight="1" x14ac:dyDescent="0.2">
      <c r="A254" s="631" t="s">
        <v>242</v>
      </c>
      <c r="B254" s="632"/>
      <c r="C254" s="231"/>
      <c r="D254" s="231"/>
      <c r="E254" s="231"/>
      <c r="F254" s="231"/>
    </row>
    <row r="255" spans="1:6" ht="36.75" customHeight="1" x14ac:dyDescent="0.2">
      <c r="A255" s="631" t="s">
        <v>243</v>
      </c>
      <c r="B255" s="632"/>
      <c r="C255" s="231"/>
      <c r="D255" s="231"/>
      <c r="E255" s="231"/>
      <c r="F255" s="231"/>
    </row>
    <row r="256" spans="1:6" ht="36.75" customHeight="1" x14ac:dyDescent="0.2">
      <c r="A256" s="631" t="s">
        <v>244</v>
      </c>
      <c r="B256" s="632"/>
      <c r="C256" s="231"/>
      <c r="D256" s="231"/>
      <c r="E256" s="231"/>
      <c r="F256" s="231"/>
    </row>
    <row r="257" spans="1:6" ht="36.75" customHeight="1" x14ac:dyDescent="0.2">
      <c r="A257" s="631" t="s">
        <v>245</v>
      </c>
      <c r="B257" s="632"/>
      <c r="C257" s="231"/>
      <c r="D257" s="231"/>
      <c r="E257" s="231"/>
      <c r="F257" s="231"/>
    </row>
    <row r="258" spans="1:6" ht="36.75" customHeight="1" x14ac:dyDescent="0.2">
      <c r="A258" s="631" t="s">
        <v>246</v>
      </c>
      <c r="B258" s="632"/>
      <c r="C258" s="231"/>
      <c r="D258" s="231"/>
      <c r="E258" s="231"/>
      <c r="F258" s="231"/>
    </row>
    <row r="259" spans="1:6" ht="15.75" customHeight="1" x14ac:dyDescent="0.2">
      <c r="A259" s="635" t="s">
        <v>247</v>
      </c>
      <c r="B259" s="615"/>
      <c r="C259" s="615"/>
      <c r="D259" s="615"/>
      <c r="E259" s="615"/>
      <c r="F259" s="615"/>
    </row>
    <row r="260" spans="1:6" ht="12.75" customHeight="1" x14ac:dyDescent="0.2">
      <c r="A260" s="199" t="s">
        <v>248</v>
      </c>
      <c r="B260" s="200" t="s">
        <v>249</v>
      </c>
      <c r="C260" s="218"/>
      <c r="D260" s="218"/>
      <c r="E260" s="218"/>
      <c r="F260" s="218"/>
    </row>
    <row r="261" spans="1:6" ht="12.75" customHeight="1" x14ac:dyDescent="0.2">
      <c r="A261" s="199" t="s">
        <v>250</v>
      </c>
      <c r="B261" s="200" t="s">
        <v>249</v>
      </c>
      <c r="C261" s="213"/>
      <c r="D261" s="213"/>
      <c r="E261" s="213"/>
      <c r="F261" s="213"/>
    </row>
    <row r="262" spans="1:6" ht="12.75" customHeight="1" x14ac:dyDescent="0.2">
      <c r="A262" s="199" t="s">
        <v>251</v>
      </c>
      <c r="B262" s="200" t="s">
        <v>249</v>
      </c>
      <c r="C262" s="213"/>
      <c r="D262" s="213"/>
      <c r="E262" s="213"/>
      <c r="F262" s="213"/>
    </row>
    <row r="263" spans="1:6" ht="12.75" customHeight="1" x14ac:dyDescent="0.2">
      <c r="A263" s="199" t="s">
        <v>252</v>
      </c>
      <c r="B263" s="200" t="s">
        <v>249</v>
      </c>
      <c r="C263" s="213"/>
      <c r="D263" s="213"/>
      <c r="E263" s="213"/>
      <c r="F263" s="213"/>
    </row>
    <row r="264" spans="1:6" ht="12.75" customHeight="1" x14ac:dyDescent="0.2">
      <c r="A264" s="199" t="s">
        <v>253</v>
      </c>
      <c r="B264" s="200" t="s">
        <v>249</v>
      </c>
      <c r="C264" s="213"/>
      <c r="D264" s="213"/>
      <c r="E264" s="213"/>
      <c r="F264" s="213"/>
    </row>
    <row r="265" spans="1:6" ht="12.75" customHeight="1" x14ac:dyDescent="0.2">
      <c r="A265" s="199" t="s">
        <v>254</v>
      </c>
      <c r="B265" s="200" t="s">
        <v>249</v>
      </c>
      <c r="C265" s="213"/>
      <c r="D265" s="213"/>
      <c r="E265" s="213"/>
      <c r="F265" s="213"/>
    </row>
    <row r="266" spans="1:6" ht="12.75" customHeight="1" x14ac:dyDescent="0.2">
      <c r="A266" s="199" t="s">
        <v>255</v>
      </c>
      <c r="B266" s="200" t="s">
        <v>249</v>
      </c>
      <c r="C266" s="213"/>
      <c r="D266" s="213"/>
      <c r="E266" s="213"/>
      <c r="F266" s="213"/>
    </row>
    <row r="267" spans="1:6" ht="12.75" customHeight="1" x14ac:dyDescent="0.2">
      <c r="A267" s="199" t="s">
        <v>256</v>
      </c>
      <c r="B267" s="200" t="s">
        <v>249</v>
      </c>
      <c r="C267" s="213"/>
      <c r="D267" s="213"/>
      <c r="E267" s="213"/>
      <c r="F267" s="213"/>
    </row>
    <row r="268" spans="1:6" ht="15.75" customHeight="1" x14ac:dyDescent="0.2">
      <c r="A268" s="635" t="s">
        <v>257</v>
      </c>
      <c r="B268" s="615"/>
      <c r="C268" s="615"/>
      <c r="D268" s="615"/>
      <c r="E268" s="615"/>
      <c r="F268" s="615"/>
    </row>
    <row r="269" spans="1:6" ht="12.75" customHeight="1" x14ac:dyDescent="0.2">
      <c r="A269" s="623" t="s">
        <v>258</v>
      </c>
      <c r="B269" s="624"/>
      <c r="C269" s="218"/>
      <c r="D269" s="218"/>
      <c r="E269" s="218"/>
      <c r="F269" s="218"/>
    </row>
    <row r="270" spans="1:6" ht="12.75" customHeight="1" x14ac:dyDescent="0.2">
      <c r="A270" s="623" t="s">
        <v>259</v>
      </c>
      <c r="B270" s="624"/>
      <c r="C270" s="218"/>
      <c r="D270" s="218"/>
      <c r="E270" s="218"/>
      <c r="F270" s="218"/>
    </row>
    <row r="271" spans="1:6" ht="12.75" customHeight="1" x14ac:dyDescent="0.2">
      <c r="A271" s="623" t="s">
        <v>260</v>
      </c>
      <c r="B271" s="624"/>
      <c r="C271" s="218"/>
      <c r="D271" s="218"/>
      <c r="E271" s="218"/>
      <c r="F271" s="218"/>
    </row>
    <row r="272" spans="1:6" ht="15.75" customHeight="1" x14ac:dyDescent="0.2">
      <c r="A272" s="635" t="s">
        <v>261</v>
      </c>
      <c r="B272" s="615"/>
      <c r="C272" s="615"/>
      <c r="D272" s="615"/>
      <c r="E272" s="615"/>
      <c r="F272" s="615"/>
    </row>
    <row r="273" spans="1:6" ht="12.75" customHeight="1" x14ac:dyDescent="0.2">
      <c r="A273" s="623" t="s">
        <v>262</v>
      </c>
      <c r="B273" s="624"/>
      <c r="C273" s="233"/>
      <c r="D273" s="233"/>
      <c r="E273" s="233"/>
      <c r="F273" s="233"/>
    </row>
    <row r="274" spans="1:6" ht="12.75" customHeight="1" x14ac:dyDescent="0.2">
      <c r="A274" s="623" t="s">
        <v>263</v>
      </c>
      <c r="B274" s="624"/>
      <c r="C274" s="233"/>
      <c r="D274" s="233"/>
      <c r="E274" s="233"/>
      <c r="F274" s="233"/>
    </row>
    <row r="275" spans="1:6" ht="12.75" customHeight="1" x14ac:dyDescent="0.2">
      <c r="A275" s="623" t="s">
        <v>250</v>
      </c>
      <c r="B275" s="624"/>
      <c r="C275" s="233"/>
      <c r="D275" s="233"/>
      <c r="E275" s="233"/>
      <c r="F275" s="233"/>
    </row>
    <row r="276" spans="1:6" ht="12.75" customHeight="1" x14ac:dyDescent="0.2">
      <c r="A276" s="623" t="s">
        <v>251</v>
      </c>
      <c r="B276" s="624"/>
      <c r="C276" s="233"/>
      <c r="D276" s="233"/>
      <c r="E276" s="233"/>
      <c r="F276" s="233"/>
    </row>
    <row r="277" spans="1:6" ht="12.75" customHeight="1" x14ac:dyDescent="0.2">
      <c r="A277" s="623" t="s">
        <v>252</v>
      </c>
      <c r="B277" s="624"/>
      <c r="C277" s="233"/>
      <c r="D277" s="233"/>
      <c r="E277" s="233"/>
      <c r="F277" s="233"/>
    </row>
    <row r="278" spans="1:6" ht="12.75" customHeight="1" x14ac:dyDescent="0.2">
      <c r="A278" s="623" t="s">
        <v>253</v>
      </c>
      <c r="B278" s="624"/>
      <c r="C278" s="233"/>
      <c r="D278" s="233"/>
      <c r="E278" s="233"/>
      <c r="F278" s="233"/>
    </row>
    <row r="279" spans="1:6" ht="12.75" customHeight="1" x14ac:dyDescent="0.2">
      <c r="A279" s="623" t="s">
        <v>264</v>
      </c>
      <c r="B279" s="624"/>
      <c r="C279" s="233"/>
      <c r="D279" s="233"/>
      <c r="E279" s="233"/>
      <c r="F279" s="233"/>
    </row>
    <row r="280" spans="1:6" ht="12.75" customHeight="1" x14ac:dyDescent="0.2">
      <c r="A280" s="623" t="s">
        <v>265</v>
      </c>
      <c r="B280" s="624"/>
      <c r="C280" s="213"/>
      <c r="D280" s="213"/>
      <c r="E280" s="213"/>
      <c r="F280" s="213"/>
    </row>
    <row r="281" spans="1:6" ht="15.75" customHeight="1" x14ac:dyDescent="0.2">
      <c r="A281" s="635" t="s">
        <v>266</v>
      </c>
      <c r="B281" s="615"/>
      <c r="C281" s="615"/>
      <c r="D281" s="615"/>
      <c r="E281" s="615"/>
      <c r="F281" s="615"/>
    </row>
    <row r="282" spans="1:6" ht="12.75" customHeight="1" x14ac:dyDescent="0.2">
      <c r="A282" s="623" t="s">
        <v>267</v>
      </c>
      <c r="B282" s="624"/>
      <c r="C282" s="213"/>
      <c r="D282" s="213"/>
      <c r="E282" s="213"/>
      <c r="F282" s="213"/>
    </row>
    <row r="283" spans="1:6" ht="12.75" customHeight="1" x14ac:dyDescent="0.2">
      <c r="A283" s="636" t="s">
        <v>268</v>
      </c>
      <c r="B283" s="637"/>
      <c r="C283" s="213"/>
      <c r="D283" s="213"/>
      <c r="E283" s="213"/>
      <c r="F283" s="213"/>
    </row>
    <row r="284" spans="1:6" ht="12.75" customHeight="1" x14ac:dyDescent="0.2">
      <c r="A284" s="623" t="s">
        <v>269</v>
      </c>
      <c r="B284" s="624"/>
      <c r="C284" s="213"/>
      <c r="D284" s="213"/>
      <c r="E284" s="213"/>
      <c r="F284" s="213"/>
    </row>
    <row r="285" spans="1:6" ht="12.75" customHeight="1" x14ac:dyDescent="0.2">
      <c r="A285" s="623" t="s">
        <v>269</v>
      </c>
      <c r="B285" s="624"/>
      <c r="C285" s="213"/>
      <c r="D285" s="213"/>
      <c r="E285" s="213"/>
      <c r="F285" s="213"/>
    </row>
    <row r="286" spans="1:6" ht="12.75" customHeight="1" x14ac:dyDescent="0.2">
      <c r="A286" s="623" t="s">
        <v>269</v>
      </c>
      <c r="B286" s="624"/>
      <c r="C286" s="213"/>
      <c r="D286" s="213"/>
      <c r="E286" s="213"/>
      <c r="F286" s="213"/>
    </row>
    <row r="287" spans="1:6" ht="12.75" customHeight="1" x14ac:dyDescent="0.2">
      <c r="A287" s="623" t="s">
        <v>269</v>
      </c>
      <c r="B287" s="624"/>
      <c r="C287" s="213"/>
      <c r="D287" s="213"/>
      <c r="E287" s="213"/>
      <c r="F287" s="213"/>
    </row>
    <row r="288" spans="1:6" ht="12.75" customHeight="1" x14ac:dyDescent="0.2">
      <c r="A288" s="623" t="s">
        <v>270</v>
      </c>
      <c r="B288" s="624"/>
      <c r="C288" s="213"/>
      <c r="D288" s="213"/>
      <c r="E288" s="213"/>
      <c r="F288" s="213"/>
    </row>
    <row r="289" spans="1:6" ht="12.75" customHeight="1" x14ac:dyDescent="0.2">
      <c r="A289" s="623" t="s">
        <v>271</v>
      </c>
      <c r="B289" s="624"/>
      <c r="C289" s="213"/>
      <c r="D289" s="213"/>
      <c r="E289" s="213"/>
      <c r="F289" s="213"/>
    </row>
    <row r="290" spans="1:6" ht="5.25" customHeight="1" x14ac:dyDescent="0.2"/>
    <row r="291" spans="1:6" ht="15" customHeight="1" x14ac:dyDescent="0.2">
      <c r="A291" s="621" t="s">
        <v>272</v>
      </c>
      <c r="B291" s="622"/>
      <c r="C291" s="622"/>
      <c r="D291" s="622"/>
      <c r="E291" s="622"/>
      <c r="F291" s="622"/>
    </row>
    <row r="292" spans="1:6" ht="16.899999999999999" customHeight="1" x14ac:dyDescent="0.2">
      <c r="A292" s="638"/>
      <c r="B292" s="639"/>
      <c r="C292" s="639"/>
      <c r="D292" s="639"/>
      <c r="E292" s="639"/>
      <c r="F292" s="639"/>
    </row>
    <row r="293" spans="1:6" ht="24.75" customHeight="1" x14ac:dyDescent="0.2">
      <c r="A293" s="635"/>
      <c r="B293" s="615"/>
      <c r="C293" s="234"/>
      <c r="D293" s="234"/>
      <c r="E293" s="234"/>
      <c r="F293" s="234"/>
    </row>
    <row r="294" spans="1:6" ht="18" customHeight="1" x14ac:dyDescent="0.2">
      <c r="A294" s="635" t="s">
        <v>185</v>
      </c>
      <c r="B294" s="615"/>
      <c r="C294" s="235"/>
      <c r="D294" s="235"/>
      <c r="E294" s="235"/>
      <c r="F294" s="235"/>
    </row>
    <row r="295" spans="1:6" ht="30.75" customHeight="1" x14ac:dyDescent="0.2">
      <c r="A295" s="633" t="s">
        <v>273</v>
      </c>
      <c r="B295" s="634"/>
      <c r="C295" s="230"/>
      <c r="D295" s="230"/>
      <c r="E295" s="230"/>
      <c r="F295" s="230"/>
    </row>
    <row r="296" spans="1:6" ht="14.25" customHeight="1" x14ac:dyDescent="0.2">
      <c r="A296" s="635" t="s">
        <v>274</v>
      </c>
      <c r="B296" s="615"/>
      <c r="C296" s="615"/>
      <c r="D296" s="615"/>
      <c r="E296" s="615"/>
      <c r="F296" s="615"/>
    </row>
    <row r="297" spans="1:6" ht="14.25" customHeight="1" x14ac:dyDescent="0.2">
      <c r="A297" s="623" t="s">
        <v>275</v>
      </c>
      <c r="B297" s="624"/>
      <c r="C297" s="187"/>
      <c r="D297" s="187"/>
      <c r="E297" s="187"/>
      <c r="F297" s="187"/>
    </row>
    <row r="298" spans="1:6" ht="14.25" customHeight="1" x14ac:dyDescent="0.2">
      <c r="A298" s="623" t="s">
        <v>276</v>
      </c>
      <c r="B298" s="624"/>
      <c r="C298" s="187"/>
      <c r="D298" s="187"/>
      <c r="E298" s="187"/>
      <c r="F298" s="187"/>
    </row>
    <row r="299" spans="1:6" ht="14.25" customHeight="1" x14ac:dyDescent="0.2">
      <c r="A299" s="636" t="s">
        <v>277</v>
      </c>
      <c r="B299" s="637"/>
      <c r="C299" s="187"/>
      <c r="D299" s="187"/>
      <c r="E299" s="187"/>
      <c r="F299" s="187"/>
    </row>
    <row r="300" spans="1:6" ht="14.25" customHeight="1" x14ac:dyDescent="0.2">
      <c r="A300" s="623" t="s">
        <v>278</v>
      </c>
      <c r="B300" s="624"/>
      <c r="C300" s="187"/>
      <c r="D300" s="187"/>
      <c r="E300" s="187"/>
      <c r="F300" s="187"/>
    </row>
    <row r="301" spans="1:6" ht="14.25" customHeight="1" x14ac:dyDescent="0.2">
      <c r="A301" s="623" t="s">
        <v>211</v>
      </c>
      <c r="B301" s="624"/>
      <c r="C301" s="187"/>
      <c r="D301" s="187"/>
      <c r="E301" s="187"/>
      <c r="F301" s="187"/>
    </row>
    <row r="302" spans="1:6" ht="14.25" customHeight="1" x14ac:dyDescent="0.2">
      <c r="A302" s="623" t="s">
        <v>279</v>
      </c>
      <c r="B302" s="624"/>
      <c r="C302" s="213"/>
      <c r="D302" s="213"/>
      <c r="E302" s="213"/>
      <c r="F302" s="213"/>
    </row>
    <row r="303" spans="1:6" ht="14.25" customHeight="1" x14ac:dyDescent="0.2">
      <c r="A303" s="623" t="s">
        <v>280</v>
      </c>
      <c r="B303" s="624"/>
      <c r="C303" s="193"/>
      <c r="D303" s="187"/>
      <c r="E303" s="187"/>
      <c r="F303" s="193"/>
    </row>
    <row r="304" spans="1:6" ht="14.25" customHeight="1" x14ac:dyDescent="0.2">
      <c r="A304" s="623" t="s">
        <v>281</v>
      </c>
      <c r="B304" s="624"/>
      <c r="C304" s="187"/>
      <c r="D304" s="187"/>
      <c r="E304" s="187"/>
      <c r="F304" s="187"/>
    </row>
    <row r="305" spans="1:6" ht="14.25" customHeight="1" x14ac:dyDescent="0.2">
      <c r="A305" s="623" t="s">
        <v>282</v>
      </c>
      <c r="B305" s="624"/>
      <c r="C305" s="187"/>
      <c r="D305" s="187"/>
      <c r="E305" s="187"/>
      <c r="F305" s="187"/>
    </row>
    <row r="306" spans="1:6" ht="14.25" customHeight="1" x14ac:dyDescent="0.2">
      <c r="A306" s="623" t="s">
        <v>283</v>
      </c>
      <c r="B306" s="624"/>
      <c r="C306" s="187"/>
      <c r="D306" s="187"/>
      <c r="E306" s="187"/>
      <c r="F306" s="187"/>
    </row>
    <row r="307" spans="1:6" ht="14.25" customHeight="1" x14ac:dyDescent="0.2">
      <c r="A307" s="623" t="s">
        <v>284</v>
      </c>
      <c r="B307" s="624"/>
      <c r="C307" s="187"/>
      <c r="D307" s="187"/>
      <c r="E307" s="187"/>
      <c r="F307" s="187"/>
    </row>
    <row r="308" spans="1:6" ht="14.25" customHeight="1" x14ac:dyDescent="0.2">
      <c r="A308" s="623" t="s">
        <v>285</v>
      </c>
      <c r="B308" s="624"/>
      <c r="C308" s="187"/>
      <c r="D308" s="187"/>
      <c r="E308" s="187"/>
      <c r="F308" s="187"/>
    </row>
    <row r="309" spans="1:6" ht="14.25" customHeight="1" x14ac:dyDescent="0.2">
      <c r="A309" s="623" t="s">
        <v>286</v>
      </c>
      <c r="B309" s="624"/>
      <c r="C309" s="187"/>
      <c r="D309" s="187"/>
      <c r="E309" s="187"/>
      <c r="F309" s="187"/>
    </row>
    <row r="310" spans="1:6" ht="14.25" customHeight="1" x14ac:dyDescent="0.2">
      <c r="A310" s="623" t="s">
        <v>287</v>
      </c>
      <c r="B310" s="624"/>
      <c r="C310" s="187"/>
      <c r="D310" s="187"/>
      <c r="E310" s="187"/>
      <c r="F310" s="187"/>
    </row>
    <row r="311" spans="1:6" ht="14.25" customHeight="1" x14ac:dyDescent="0.2">
      <c r="A311" s="635" t="s">
        <v>288</v>
      </c>
      <c r="B311" s="615"/>
      <c r="C311" s="615"/>
      <c r="D311" s="615"/>
      <c r="E311" s="615"/>
      <c r="F311" s="615"/>
    </row>
    <row r="312" spans="1:6" ht="14.25" customHeight="1" x14ac:dyDescent="0.2">
      <c r="A312" s="640" t="s">
        <v>276</v>
      </c>
      <c r="B312" s="641"/>
      <c r="C312" s="213"/>
      <c r="D312" s="213"/>
      <c r="E312" s="213"/>
      <c r="F312" s="213"/>
    </row>
    <row r="313" spans="1:6" ht="14.25" customHeight="1" x14ac:dyDescent="0.2">
      <c r="A313" s="623" t="s">
        <v>289</v>
      </c>
      <c r="B313" s="624"/>
      <c r="C313" s="213"/>
      <c r="D313" s="213"/>
      <c r="E313" s="213"/>
      <c r="F313" s="213"/>
    </row>
    <row r="314" spans="1:6" ht="14.25" customHeight="1" x14ac:dyDescent="0.2">
      <c r="A314" s="623" t="s">
        <v>290</v>
      </c>
      <c r="B314" s="624"/>
      <c r="C314" s="213"/>
      <c r="D314" s="213"/>
      <c r="E314" s="213"/>
      <c r="F314" s="213"/>
    </row>
    <row r="315" spans="1:6" ht="14.25" customHeight="1" x14ac:dyDescent="0.2">
      <c r="A315" s="623" t="s">
        <v>291</v>
      </c>
      <c r="B315" s="624"/>
      <c r="C315" s="213"/>
      <c r="D315" s="213"/>
      <c r="E315" s="213"/>
      <c r="F315" s="213"/>
    </row>
    <row r="316" spans="1:6" ht="14.25" customHeight="1" x14ac:dyDescent="0.2">
      <c r="A316" s="623" t="s">
        <v>211</v>
      </c>
      <c r="B316" s="624"/>
      <c r="C316" s="213"/>
      <c r="D316" s="213"/>
      <c r="E316" s="213"/>
      <c r="F316" s="213"/>
    </row>
    <row r="317" spans="1:6" ht="5.25" customHeight="1" x14ac:dyDescent="0.2"/>
    <row r="318" spans="1:6" ht="15" customHeight="1" x14ac:dyDescent="0.2">
      <c r="A318" s="621" t="s">
        <v>272</v>
      </c>
      <c r="B318" s="622"/>
      <c r="C318" s="622"/>
      <c r="D318" s="622"/>
      <c r="E318" s="622"/>
      <c r="F318" s="622"/>
    </row>
    <row r="319" spans="1:6" ht="16.899999999999999" customHeight="1" x14ac:dyDescent="0.2">
      <c r="A319" s="638"/>
      <c r="B319" s="639"/>
      <c r="C319" s="639"/>
      <c r="D319" s="639"/>
      <c r="E319" s="639"/>
      <c r="F319" s="639"/>
    </row>
    <row r="320" spans="1:6" ht="18.75" customHeight="1" x14ac:dyDescent="0.2">
      <c r="A320" s="635"/>
      <c r="B320" s="615"/>
      <c r="C320" s="236"/>
      <c r="D320" s="236"/>
      <c r="E320" s="236"/>
      <c r="F320" s="236"/>
    </row>
    <row r="321" spans="1:6" ht="18" customHeight="1" x14ac:dyDescent="0.2">
      <c r="A321" s="635" t="s">
        <v>185</v>
      </c>
      <c r="B321" s="615"/>
      <c r="C321" s="236"/>
      <c r="D321" s="236"/>
      <c r="E321" s="236"/>
      <c r="F321" s="236"/>
    </row>
    <row r="322" spans="1:6" ht="15.75" customHeight="1" x14ac:dyDescent="0.2">
      <c r="A322" s="623" t="s">
        <v>273</v>
      </c>
      <c r="B322" s="624"/>
      <c r="C322" s="236"/>
      <c r="D322" s="236"/>
      <c r="E322" s="236"/>
      <c r="F322" s="236"/>
    </row>
    <row r="323" spans="1:6" ht="14.25" customHeight="1" x14ac:dyDescent="0.2">
      <c r="A323" s="635" t="s">
        <v>274</v>
      </c>
      <c r="B323" s="615"/>
      <c r="C323" s="615"/>
      <c r="D323" s="615"/>
      <c r="E323" s="615"/>
      <c r="F323" s="615"/>
    </row>
    <row r="324" spans="1:6" ht="14.25" customHeight="1" x14ac:dyDescent="0.2">
      <c r="A324" s="623" t="s">
        <v>275</v>
      </c>
      <c r="B324" s="624"/>
      <c r="C324" s="187"/>
      <c r="D324" s="187"/>
      <c r="E324" s="187"/>
      <c r="F324" s="187"/>
    </row>
    <row r="325" spans="1:6" ht="14.25" customHeight="1" x14ac:dyDescent="0.2">
      <c r="A325" s="623" t="s">
        <v>276</v>
      </c>
      <c r="B325" s="624"/>
      <c r="C325" s="187"/>
      <c r="D325" s="187"/>
      <c r="E325" s="187"/>
      <c r="F325" s="187"/>
    </row>
    <row r="326" spans="1:6" ht="14.25" customHeight="1" x14ac:dyDescent="0.2">
      <c r="A326" s="636" t="s">
        <v>277</v>
      </c>
      <c r="B326" s="637"/>
      <c r="C326" s="187"/>
      <c r="D326" s="187"/>
      <c r="E326" s="187"/>
      <c r="F326" s="187"/>
    </row>
    <row r="327" spans="1:6" ht="14.25" customHeight="1" x14ac:dyDescent="0.2">
      <c r="A327" s="623" t="s">
        <v>278</v>
      </c>
      <c r="B327" s="624"/>
      <c r="C327" s="187"/>
      <c r="D327" s="187"/>
      <c r="E327" s="187"/>
      <c r="F327" s="187"/>
    </row>
    <row r="328" spans="1:6" ht="14.25" customHeight="1" x14ac:dyDescent="0.2">
      <c r="A328" s="623" t="s">
        <v>211</v>
      </c>
      <c r="B328" s="624"/>
      <c r="C328" s="187"/>
      <c r="D328" s="187"/>
      <c r="E328" s="187"/>
      <c r="F328" s="187"/>
    </row>
    <row r="329" spans="1:6" ht="14.25" customHeight="1" x14ac:dyDescent="0.2">
      <c r="A329" s="623" t="s">
        <v>279</v>
      </c>
      <c r="B329" s="624"/>
      <c r="C329" s="213"/>
      <c r="D329" s="213"/>
      <c r="E329" s="213"/>
      <c r="F329" s="213"/>
    </row>
    <row r="330" spans="1:6" ht="14.25" customHeight="1" x14ac:dyDescent="0.2">
      <c r="A330" s="623" t="s">
        <v>280</v>
      </c>
      <c r="B330" s="624"/>
      <c r="C330" s="193"/>
      <c r="D330" s="193"/>
      <c r="E330" s="193"/>
      <c r="F330" s="193"/>
    </row>
    <row r="331" spans="1:6" ht="14.25" customHeight="1" x14ac:dyDescent="0.2">
      <c r="A331" s="623" t="s">
        <v>281</v>
      </c>
      <c r="B331" s="624"/>
      <c r="C331" s="187"/>
      <c r="D331" s="187"/>
      <c r="E331" s="187"/>
      <c r="F331" s="187"/>
    </row>
    <row r="332" spans="1:6" ht="14.25" customHeight="1" x14ac:dyDescent="0.2">
      <c r="A332" s="623" t="s">
        <v>282</v>
      </c>
      <c r="B332" s="624"/>
      <c r="C332" s="187"/>
      <c r="D332" s="187"/>
      <c r="E332" s="187"/>
      <c r="F332" s="187"/>
    </row>
    <row r="333" spans="1:6" ht="14.25" customHeight="1" x14ac:dyDescent="0.2">
      <c r="A333" s="623" t="s">
        <v>283</v>
      </c>
      <c r="B333" s="624"/>
      <c r="C333" s="187"/>
      <c r="D333" s="187"/>
      <c r="E333" s="187"/>
      <c r="F333" s="187"/>
    </row>
    <row r="334" spans="1:6" ht="14.25" customHeight="1" x14ac:dyDescent="0.2">
      <c r="A334" s="623" t="s">
        <v>284</v>
      </c>
      <c r="B334" s="624"/>
      <c r="C334" s="187"/>
      <c r="D334" s="187"/>
      <c r="E334" s="187"/>
      <c r="F334" s="187"/>
    </row>
    <row r="335" spans="1:6" ht="14.25" customHeight="1" x14ac:dyDescent="0.2">
      <c r="A335" s="623" t="s">
        <v>285</v>
      </c>
      <c r="B335" s="624"/>
      <c r="C335" s="187"/>
      <c r="D335" s="187"/>
      <c r="E335" s="187"/>
      <c r="F335" s="187"/>
    </row>
    <row r="336" spans="1:6" ht="14.25" customHeight="1" x14ac:dyDescent="0.2">
      <c r="A336" s="623" t="s">
        <v>286</v>
      </c>
      <c r="B336" s="624"/>
      <c r="C336" s="187"/>
      <c r="D336" s="187"/>
      <c r="E336" s="187"/>
      <c r="F336" s="187"/>
    </row>
    <row r="337" spans="1:6" ht="14.25" customHeight="1" x14ac:dyDescent="0.2">
      <c r="A337" s="623" t="s">
        <v>287</v>
      </c>
      <c r="B337" s="624"/>
      <c r="C337" s="187"/>
      <c r="D337" s="187"/>
      <c r="E337" s="187"/>
      <c r="F337" s="187"/>
    </row>
    <row r="338" spans="1:6" ht="14.25" customHeight="1" x14ac:dyDescent="0.2">
      <c r="A338" s="635" t="s">
        <v>288</v>
      </c>
      <c r="B338" s="615"/>
      <c r="C338" s="615"/>
      <c r="D338" s="615"/>
      <c r="E338" s="615"/>
      <c r="F338" s="615"/>
    </row>
    <row r="339" spans="1:6" ht="14.25" customHeight="1" x14ac:dyDescent="0.2">
      <c r="A339" s="640" t="s">
        <v>276</v>
      </c>
      <c r="B339" s="641"/>
      <c r="C339" s="213"/>
      <c r="D339" s="213"/>
      <c r="E339" s="213"/>
      <c r="F339" s="213"/>
    </row>
    <row r="340" spans="1:6" ht="14.25" customHeight="1" x14ac:dyDescent="0.2">
      <c r="A340" s="623" t="s">
        <v>289</v>
      </c>
      <c r="B340" s="624"/>
      <c r="C340" s="213"/>
      <c r="D340" s="213"/>
      <c r="E340" s="213"/>
      <c r="F340" s="213"/>
    </row>
    <row r="341" spans="1:6" ht="14.25" customHeight="1" x14ac:dyDescent="0.2">
      <c r="A341" s="623" t="s">
        <v>290</v>
      </c>
      <c r="B341" s="624"/>
      <c r="C341" s="213"/>
      <c r="D341" s="213"/>
      <c r="E341" s="213"/>
      <c r="F341" s="213"/>
    </row>
    <row r="342" spans="1:6" ht="14.25" customHeight="1" x14ac:dyDescent="0.2">
      <c r="A342" s="623" t="s">
        <v>291</v>
      </c>
      <c r="B342" s="624"/>
      <c r="C342" s="213"/>
      <c r="D342" s="213"/>
      <c r="E342" s="213"/>
      <c r="F342" s="213"/>
    </row>
    <row r="343" spans="1:6" ht="14.25" customHeight="1" x14ac:dyDescent="0.2">
      <c r="A343" s="623" t="s">
        <v>211</v>
      </c>
      <c r="B343" s="624"/>
      <c r="C343" s="213"/>
      <c r="D343" s="213"/>
      <c r="E343" s="213"/>
      <c r="F343" s="213"/>
    </row>
    <row r="344" spans="1:6" ht="5.25" customHeight="1" x14ac:dyDescent="0.2"/>
    <row r="345" spans="1:6" ht="15" customHeight="1" x14ac:dyDescent="0.2">
      <c r="A345" s="621" t="s">
        <v>272</v>
      </c>
      <c r="B345" s="622"/>
      <c r="C345" s="622"/>
      <c r="D345" s="622"/>
      <c r="E345" s="622"/>
      <c r="F345" s="622"/>
    </row>
    <row r="346" spans="1:6" ht="16.899999999999999" customHeight="1" x14ac:dyDescent="0.2">
      <c r="A346" s="638"/>
      <c r="B346" s="639"/>
      <c r="C346" s="639"/>
      <c r="D346" s="639"/>
      <c r="E346" s="639"/>
      <c r="F346" s="639"/>
    </row>
    <row r="347" spans="1:6" ht="18.75" customHeight="1" x14ac:dyDescent="0.2">
      <c r="A347" s="635" t="s">
        <v>292</v>
      </c>
      <c r="B347" s="615"/>
      <c r="C347" s="236"/>
      <c r="D347" s="236"/>
      <c r="E347" s="236"/>
      <c r="F347" s="236"/>
    </row>
    <row r="348" spans="1:6" ht="18" customHeight="1" x14ac:dyDescent="0.2">
      <c r="A348" s="635" t="s">
        <v>185</v>
      </c>
      <c r="B348" s="615"/>
      <c r="C348" s="236"/>
      <c r="D348" s="236"/>
      <c r="E348" s="236"/>
      <c r="F348" s="236"/>
    </row>
    <row r="349" spans="1:6" ht="15.75" customHeight="1" x14ac:dyDescent="0.2">
      <c r="A349" s="623" t="s">
        <v>273</v>
      </c>
      <c r="B349" s="624"/>
      <c r="C349" s="236"/>
      <c r="D349" s="236"/>
      <c r="E349" s="236"/>
      <c r="F349" s="236"/>
    </row>
    <row r="350" spans="1:6" ht="14.25" customHeight="1" x14ac:dyDescent="0.2">
      <c r="A350" s="635" t="s">
        <v>274</v>
      </c>
      <c r="B350" s="615"/>
      <c r="C350" s="615"/>
      <c r="D350" s="615"/>
      <c r="E350" s="615"/>
      <c r="F350" s="615"/>
    </row>
    <row r="351" spans="1:6" ht="14.25" customHeight="1" x14ac:dyDescent="0.2">
      <c r="A351" s="623" t="s">
        <v>275</v>
      </c>
      <c r="B351" s="624"/>
      <c r="C351" s="187"/>
      <c r="D351" s="187"/>
      <c r="E351" s="187"/>
      <c r="F351" s="187"/>
    </row>
    <row r="352" spans="1:6" ht="14.25" customHeight="1" x14ac:dyDescent="0.2">
      <c r="A352" s="623" t="s">
        <v>276</v>
      </c>
      <c r="B352" s="624"/>
      <c r="C352" s="187"/>
      <c r="D352" s="187"/>
      <c r="E352" s="187"/>
      <c r="F352" s="187"/>
    </row>
    <row r="353" spans="1:6" ht="14.25" customHeight="1" x14ac:dyDescent="0.2">
      <c r="A353" s="636" t="s">
        <v>277</v>
      </c>
      <c r="B353" s="637"/>
      <c r="C353" s="187"/>
      <c r="D353" s="187"/>
      <c r="E353" s="187"/>
      <c r="F353" s="187"/>
    </row>
    <row r="354" spans="1:6" ht="14.25" customHeight="1" x14ac:dyDescent="0.2">
      <c r="A354" s="623" t="s">
        <v>278</v>
      </c>
      <c r="B354" s="624"/>
      <c r="C354" s="187"/>
      <c r="D354" s="187"/>
      <c r="E354" s="187"/>
      <c r="F354" s="187"/>
    </row>
    <row r="355" spans="1:6" ht="14.25" customHeight="1" x14ac:dyDescent="0.2">
      <c r="A355" s="623" t="s">
        <v>211</v>
      </c>
      <c r="B355" s="624"/>
      <c r="C355" s="187"/>
      <c r="D355" s="187"/>
      <c r="E355" s="187"/>
      <c r="F355" s="187"/>
    </row>
    <row r="356" spans="1:6" ht="14.25" customHeight="1" x14ac:dyDescent="0.2">
      <c r="A356" s="623" t="s">
        <v>279</v>
      </c>
      <c r="B356" s="624"/>
      <c r="C356" s="213"/>
      <c r="D356" s="213"/>
      <c r="E356" s="213"/>
      <c r="F356" s="213"/>
    </row>
    <row r="357" spans="1:6" ht="14.25" customHeight="1" x14ac:dyDescent="0.2">
      <c r="A357" s="623" t="s">
        <v>280</v>
      </c>
      <c r="B357" s="624"/>
      <c r="C357" s="193"/>
      <c r="D357" s="187"/>
      <c r="E357" s="187"/>
      <c r="F357" s="187"/>
    </row>
    <row r="358" spans="1:6" ht="14.25" customHeight="1" x14ac:dyDescent="0.2">
      <c r="A358" s="623" t="s">
        <v>281</v>
      </c>
      <c r="B358" s="624"/>
      <c r="C358" s="187"/>
      <c r="D358" s="187"/>
      <c r="E358" s="187"/>
      <c r="F358" s="187"/>
    </row>
    <row r="359" spans="1:6" ht="14.25" customHeight="1" x14ac:dyDescent="0.2">
      <c r="A359" s="623" t="s">
        <v>282</v>
      </c>
      <c r="B359" s="624"/>
      <c r="C359" s="187"/>
      <c r="D359" s="187"/>
      <c r="E359" s="187"/>
      <c r="F359" s="187"/>
    </row>
    <row r="360" spans="1:6" ht="14.25" customHeight="1" x14ac:dyDescent="0.2">
      <c r="A360" s="623" t="s">
        <v>283</v>
      </c>
      <c r="B360" s="624"/>
      <c r="C360" s="187"/>
      <c r="D360" s="187"/>
      <c r="E360" s="187"/>
      <c r="F360" s="187"/>
    </row>
    <row r="361" spans="1:6" ht="14.25" customHeight="1" x14ac:dyDescent="0.2">
      <c r="A361" s="623" t="s">
        <v>284</v>
      </c>
      <c r="B361" s="624"/>
      <c r="C361" s="187"/>
      <c r="D361" s="187"/>
      <c r="E361" s="187"/>
      <c r="F361" s="187"/>
    </row>
    <row r="362" spans="1:6" ht="14.25" customHeight="1" x14ac:dyDescent="0.2">
      <c r="A362" s="623" t="s">
        <v>285</v>
      </c>
      <c r="B362" s="624"/>
      <c r="C362" s="187"/>
      <c r="D362" s="187"/>
      <c r="E362" s="187"/>
      <c r="F362" s="187"/>
    </row>
    <row r="363" spans="1:6" ht="14.25" customHeight="1" x14ac:dyDescent="0.2">
      <c r="A363" s="623" t="s">
        <v>286</v>
      </c>
      <c r="B363" s="624"/>
      <c r="C363" s="187"/>
      <c r="D363" s="187"/>
      <c r="E363" s="187"/>
      <c r="F363" s="187"/>
    </row>
    <row r="364" spans="1:6" ht="14.25" customHeight="1" x14ac:dyDescent="0.2">
      <c r="A364" s="623" t="s">
        <v>287</v>
      </c>
      <c r="B364" s="624"/>
      <c r="C364" s="187"/>
      <c r="D364" s="187"/>
      <c r="E364" s="187"/>
      <c r="F364" s="187"/>
    </row>
    <row r="365" spans="1:6" ht="14.25" customHeight="1" x14ac:dyDescent="0.2">
      <c r="A365" s="635" t="s">
        <v>288</v>
      </c>
      <c r="B365" s="615"/>
      <c r="C365" s="615"/>
      <c r="D365" s="615"/>
      <c r="E365" s="615"/>
      <c r="F365" s="615"/>
    </row>
    <row r="366" spans="1:6" ht="14.25" customHeight="1" x14ac:dyDescent="0.2">
      <c r="A366" s="640" t="s">
        <v>276</v>
      </c>
      <c r="B366" s="641"/>
      <c r="C366" s="213"/>
      <c r="D366" s="213"/>
      <c r="E366" s="213"/>
      <c r="F366" s="213"/>
    </row>
    <row r="367" spans="1:6" ht="14.25" customHeight="1" x14ac:dyDescent="0.2">
      <c r="A367" s="623" t="s">
        <v>289</v>
      </c>
      <c r="B367" s="624"/>
      <c r="C367" s="213"/>
      <c r="D367" s="213"/>
      <c r="E367" s="213"/>
      <c r="F367" s="213"/>
    </row>
    <row r="368" spans="1:6" ht="14.25" customHeight="1" x14ac:dyDescent="0.2">
      <c r="A368" s="623" t="s">
        <v>290</v>
      </c>
      <c r="B368" s="624"/>
      <c r="C368" s="213"/>
      <c r="D368" s="213"/>
      <c r="E368" s="213"/>
      <c r="F368" s="213"/>
    </row>
    <row r="369" spans="1:6" ht="14.25" customHeight="1" x14ac:dyDescent="0.2">
      <c r="A369" s="623" t="s">
        <v>291</v>
      </c>
      <c r="B369" s="624"/>
      <c r="C369" s="213"/>
      <c r="D369" s="213"/>
      <c r="E369" s="213"/>
      <c r="F369" s="213"/>
    </row>
    <row r="370" spans="1:6" ht="14.25" customHeight="1" x14ac:dyDescent="0.2">
      <c r="A370" s="623" t="s">
        <v>211</v>
      </c>
      <c r="B370" s="624"/>
      <c r="C370" s="213"/>
      <c r="D370" s="213"/>
      <c r="E370" s="213"/>
      <c r="F370" s="213"/>
    </row>
    <row r="371" spans="1:6" ht="5.25" customHeight="1" x14ac:dyDescent="0.2"/>
    <row r="372" spans="1:6" ht="15" customHeight="1" x14ac:dyDescent="0.2">
      <c r="A372" s="621" t="s">
        <v>272</v>
      </c>
      <c r="B372" s="622"/>
      <c r="C372" s="622"/>
      <c r="D372" s="622"/>
      <c r="E372" s="622"/>
      <c r="F372" s="622"/>
    </row>
    <row r="373" spans="1:6" ht="16.899999999999999" customHeight="1" x14ac:dyDescent="0.2">
      <c r="A373" s="638"/>
      <c r="B373" s="639"/>
      <c r="C373" s="639"/>
      <c r="D373" s="639"/>
      <c r="E373" s="639"/>
      <c r="F373" s="639"/>
    </row>
    <row r="374" spans="1:6" ht="18.75" customHeight="1" x14ac:dyDescent="0.2">
      <c r="A374" s="635" t="s">
        <v>292</v>
      </c>
      <c r="B374" s="615"/>
      <c r="C374" s="236"/>
      <c r="D374" s="236"/>
      <c r="E374" s="236"/>
      <c r="F374" s="236"/>
    </row>
    <row r="375" spans="1:6" ht="18" customHeight="1" x14ac:dyDescent="0.2">
      <c r="A375" s="635" t="s">
        <v>185</v>
      </c>
      <c r="B375" s="615"/>
      <c r="C375" s="236"/>
      <c r="D375" s="236"/>
      <c r="E375" s="236"/>
      <c r="F375" s="236"/>
    </row>
    <row r="376" spans="1:6" ht="15.75" customHeight="1" x14ac:dyDescent="0.2">
      <c r="A376" s="623" t="s">
        <v>273</v>
      </c>
      <c r="B376" s="624"/>
      <c r="C376" s="236"/>
      <c r="D376" s="236"/>
      <c r="E376" s="236"/>
      <c r="F376" s="236"/>
    </row>
    <row r="377" spans="1:6" ht="14.25" customHeight="1" x14ac:dyDescent="0.2">
      <c r="A377" s="635" t="s">
        <v>274</v>
      </c>
      <c r="B377" s="615"/>
      <c r="C377" s="615"/>
      <c r="D377" s="615"/>
      <c r="E377" s="615"/>
      <c r="F377" s="615"/>
    </row>
    <row r="378" spans="1:6" ht="14.25" customHeight="1" x14ac:dyDescent="0.2">
      <c r="A378" s="623" t="s">
        <v>275</v>
      </c>
      <c r="B378" s="624"/>
      <c r="C378" s="187"/>
      <c r="D378" s="187"/>
      <c r="E378" s="187"/>
      <c r="F378" s="187"/>
    </row>
    <row r="379" spans="1:6" ht="14.25" customHeight="1" x14ac:dyDescent="0.2">
      <c r="A379" s="623" t="s">
        <v>276</v>
      </c>
      <c r="B379" s="624"/>
      <c r="C379" s="187"/>
      <c r="D379" s="187"/>
      <c r="E379" s="187"/>
      <c r="F379" s="187"/>
    </row>
    <row r="380" spans="1:6" ht="14.25" customHeight="1" x14ac:dyDescent="0.2">
      <c r="A380" s="636" t="s">
        <v>277</v>
      </c>
      <c r="B380" s="637"/>
      <c r="C380" s="187"/>
      <c r="D380" s="187"/>
      <c r="E380" s="187"/>
      <c r="F380" s="187"/>
    </row>
    <row r="381" spans="1:6" ht="14.25" customHeight="1" x14ac:dyDescent="0.2">
      <c r="A381" s="623" t="s">
        <v>278</v>
      </c>
      <c r="B381" s="624"/>
      <c r="C381" s="187"/>
      <c r="D381" s="187"/>
      <c r="E381" s="187"/>
      <c r="F381" s="187"/>
    </row>
    <row r="382" spans="1:6" ht="14.25" customHeight="1" x14ac:dyDescent="0.2">
      <c r="A382" s="623" t="s">
        <v>211</v>
      </c>
      <c r="B382" s="624"/>
      <c r="C382" s="187"/>
      <c r="D382" s="187"/>
      <c r="E382" s="187"/>
      <c r="F382" s="187"/>
    </row>
    <row r="383" spans="1:6" ht="14.25" customHeight="1" x14ac:dyDescent="0.2">
      <c r="A383" s="623" t="s">
        <v>279</v>
      </c>
      <c r="B383" s="624"/>
      <c r="C383" s="213"/>
      <c r="D383" s="213"/>
      <c r="E383" s="213"/>
      <c r="F383" s="213"/>
    </row>
    <row r="384" spans="1:6" ht="14.25" customHeight="1" x14ac:dyDescent="0.2">
      <c r="A384" s="623" t="s">
        <v>280</v>
      </c>
      <c r="B384" s="624"/>
      <c r="C384" s="187"/>
      <c r="D384" s="187"/>
      <c r="E384" s="187"/>
      <c r="F384" s="187"/>
    </row>
    <row r="385" spans="1:6" ht="14.25" customHeight="1" x14ac:dyDescent="0.2">
      <c r="A385" s="623" t="s">
        <v>281</v>
      </c>
      <c r="B385" s="624"/>
      <c r="C385" s="187"/>
      <c r="D385" s="187"/>
      <c r="E385" s="187"/>
      <c r="F385" s="187"/>
    </row>
    <row r="386" spans="1:6" ht="14.25" customHeight="1" x14ac:dyDescent="0.2">
      <c r="A386" s="623" t="s">
        <v>282</v>
      </c>
      <c r="B386" s="624"/>
      <c r="C386" s="187"/>
      <c r="D386" s="187"/>
      <c r="E386" s="187"/>
      <c r="F386" s="187"/>
    </row>
    <row r="387" spans="1:6" ht="14.25" customHeight="1" x14ac:dyDescent="0.2">
      <c r="A387" s="623" t="s">
        <v>283</v>
      </c>
      <c r="B387" s="624"/>
      <c r="C387" s="187"/>
      <c r="D387" s="187"/>
      <c r="E387" s="187"/>
      <c r="F387" s="187"/>
    </row>
    <row r="388" spans="1:6" ht="14.25" customHeight="1" x14ac:dyDescent="0.2">
      <c r="A388" s="623" t="s">
        <v>284</v>
      </c>
      <c r="B388" s="624"/>
      <c r="C388" s="187"/>
      <c r="D388" s="187"/>
      <c r="E388" s="187"/>
      <c r="F388" s="187"/>
    </row>
    <row r="389" spans="1:6" ht="14.25" customHeight="1" x14ac:dyDescent="0.2">
      <c r="A389" s="623" t="s">
        <v>285</v>
      </c>
      <c r="B389" s="624"/>
      <c r="C389" s="187"/>
      <c r="D389" s="187"/>
      <c r="E389" s="187"/>
      <c r="F389" s="187"/>
    </row>
    <row r="390" spans="1:6" ht="14.25" customHeight="1" x14ac:dyDescent="0.2">
      <c r="A390" s="623" t="s">
        <v>286</v>
      </c>
      <c r="B390" s="624"/>
      <c r="C390" s="187"/>
      <c r="D390" s="187"/>
      <c r="E390" s="187"/>
      <c r="F390" s="187"/>
    </row>
    <row r="391" spans="1:6" ht="14.25" customHeight="1" x14ac:dyDescent="0.2">
      <c r="A391" s="623" t="s">
        <v>287</v>
      </c>
      <c r="B391" s="624"/>
      <c r="C391" s="187"/>
      <c r="D391" s="187"/>
      <c r="E391" s="187"/>
      <c r="F391" s="187"/>
    </row>
    <row r="392" spans="1:6" ht="14.25" customHeight="1" x14ac:dyDescent="0.2">
      <c r="A392" s="635" t="s">
        <v>288</v>
      </c>
      <c r="B392" s="615"/>
      <c r="C392" s="615"/>
      <c r="D392" s="615"/>
      <c r="E392" s="615"/>
      <c r="F392" s="615"/>
    </row>
    <row r="393" spans="1:6" ht="14.25" customHeight="1" x14ac:dyDescent="0.2">
      <c r="A393" s="640" t="s">
        <v>276</v>
      </c>
      <c r="B393" s="641"/>
      <c r="C393" s="213"/>
      <c r="D393" s="213"/>
      <c r="E393" s="213"/>
      <c r="F393" s="213"/>
    </row>
    <row r="394" spans="1:6" ht="14.25" customHeight="1" x14ac:dyDescent="0.2">
      <c r="A394" s="623" t="s">
        <v>289</v>
      </c>
      <c r="B394" s="624"/>
      <c r="C394" s="213"/>
      <c r="D394" s="213"/>
      <c r="E394" s="213"/>
      <c r="F394" s="213"/>
    </row>
    <row r="395" spans="1:6" ht="14.25" customHeight="1" x14ac:dyDescent="0.2">
      <c r="A395" s="623" t="s">
        <v>290</v>
      </c>
      <c r="B395" s="624"/>
      <c r="C395" s="213"/>
      <c r="D395" s="213"/>
      <c r="E395" s="213"/>
      <c r="F395" s="213"/>
    </row>
    <row r="396" spans="1:6" ht="14.25" customHeight="1" x14ac:dyDescent="0.2">
      <c r="A396" s="623" t="s">
        <v>291</v>
      </c>
      <c r="B396" s="624"/>
      <c r="C396" s="213"/>
      <c r="D396" s="213"/>
      <c r="E396" s="213"/>
      <c r="F396" s="213"/>
    </row>
    <row r="397" spans="1:6" ht="26.25" customHeight="1" x14ac:dyDescent="0.2">
      <c r="A397" s="640" t="s">
        <v>211</v>
      </c>
      <c r="B397" s="641"/>
      <c r="C397" s="237"/>
      <c r="D397" s="213"/>
      <c r="E397" s="213"/>
      <c r="F397" s="213"/>
    </row>
    <row r="398" spans="1:6" ht="54" customHeight="1" x14ac:dyDescent="0.2">
      <c r="A398" s="195"/>
      <c r="B398" s="195"/>
      <c r="C398" s="195"/>
    </row>
    <row r="399" spans="1:6" ht="6.75" customHeight="1" x14ac:dyDescent="0.2">
      <c r="A399" s="195"/>
    </row>
    <row r="400" spans="1:6" ht="6.75" customHeight="1" x14ac:dyDescent="0.2">
      <c r="A400" s="195"/>
    </row>
    <row r="401" spans="3:3" ht="6.75" customHeight="1" x14ac:dyDescent="0.2"/>
    <row r="402" spans="3:3" ht="6.75" customHeight="1" x14ac:dyDescent="0.2">
      <c r="C402" s="195"/>
    </row>
    <row r="403" spans="3:3" ht="6.75" customHeight="1" x14ac:dyDescent="0.2">
      <c r="C403" s="195"/>
    </row>
    <row r="404" spans="3:3" ht="6.75" customHeight="1" x14ac:dyDescent="0.2">
      <c r="C404" s="195"/>
    </row>
    <row r="405" spans="3:3" ht="6.75" customHeight="1" x14ac:dyDescent="0.2">
      <c r="C405" s="238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57">
        <v>1</v>
      </c>
    </row>
    <row r="468" spans="1:1" ht="6.75" customHeight="1" x14ac:dyDescent="0.2">
      <c r="A468" s="157">
        <v>2</v>
      </c>
    </row>
    <row r="469" spans="1:1" ht="6.75" customHeight="1" x14ac:dyDescent="0.2">
      <c r="A469" s="157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10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108" customWidth="1"/>
    <col min="2" max="5" width="13.28515625" style="108" customWidth="1"/>
    <col min="6" max="16384" width="9.140625" style="108"/>
  </cols>
  <sheetData>
    <row r="1" spans="1:5" ht="25.5" customHeight="1" x14ac:dyDescent="0.2">
      <c r="A1" s="643" t="s">
        <v>293</v>
      </c>
      <c r="B1" s="643"/>
      <c r="C1" s="643"/>
      <c r="D1" s="643"/>
      <c r="E1" s="643"/>
    </row>
    <row r="2" spans="1:5" ht="12.75" customHeight="1" x14ac:dyDescent="0.2">
      <c r="A2" s="239" t="s">
        <v>294</v>
      </c>
      <c r="B2" s="240">
        <v>6</v>
      </c>
      <c r="C2" s="240"/>
      <c r="D2" s="240"/>
      <c r="E2" s="241"/>
    </row>
    <row r="3" spans="1:5" ht="12.75" customHeight="1" x14ac:dyDescent="0.2">
      <c r="A3" s="242" t="s">
        <v>453</v>
      </c>
      <c r="B3" s="243">
        <v>78872</v>
      </c>
      <c r="C3" s="243"/>
      <c r="D3" s="243"/>
      <c r="E3" s="243"/>
    </row>
    <row r="4" spans="1:5" ht="12.75" customHeight="1" x14ac:dyDescent="0.2">
      <c r="A4" s="350" t="s">
        <v>454</v>
      </c>
      <c r="B4" s="243"/>
      <c r="C4" s="243"/>
      <c r="D4" s="243"/>
      <c r="E4" s="243"/>
    </row>
    <row r="5" spans="1:5" x14ac:dyDescent="0.2">
      <c r="A5" s="242" t="s">
        <v>295</v>
      </c>
      <c r="B5" s="243">
        <v>72235</v>
      </c>
      <c r="C5" s="243"/>
      <c r="D5" s="243"/>
      <c r="E5" s="246"/>
    </row>
    <row r="6" spans="1:5" x14ac:dyDescent="0.2">
      <c r="A6" s="242" t="s">
        <v>296</v>
      </c>
      <c r="B6" s="243">
        <v>47494</v>
      </c>
      <c r="C6" s="243"/>
      <c r="D6" s="243"/>
      <c r="E6" s="243"/>
    </row>
    <row r="7" spans="1:5" ht="12.75" customHeight="1" x14ac:dyDescent="0.2">
      <c r="A7" s="350" t="s">
        <v>449</v>
      </c>
      <c r="B7" s="247">
        <v>48897</v>
      </c>
      <c r="C7" s="247"/>
      <c r="D7" s="247"/>
      <c r="E7" s="245"/>
    </row>
    <row r="8" spans="1:5" ht="12.75" customHeight="1" x14ac:dyDescent="0.2">
      <c r="A8" s="242" t="s">
        <v>452</v>
      </c>
      <c r="B8" s="247">
        <v>22720</v>
      </c>
      <c r="C8" s="247"/>
      <c r="D8" s="247"/>
      <c r="E8" s="245"/>
    </row>
    <row r="9" spans="1:5" ht="12.75" customHeight="1" x14ac:dyDescent="0.2">
      <c r="A9" s="242" t="s">
        <v>451</v>
      </c>
      <c r="B9" s="247">
        <v>402143193</v>
      </c>
      <c r="C9" s="247"/>
      <c r="D9" s="247"/>
      <c r="E9" s="246"/>
    </row>
    <row r="10" spans="1:5" ht="12.75" customHeight="1" x14ac:dyDescent="0.2">
      <c r="A10" s="242" t="s">
        <v>450</v>
      </c>
      <c r="B10" s="247">
        <v>35681</v>
      </c>
      <c r="C10" s="247"/>
      <c r="D10" s="247"/>
      <c r="E10" s="246"/>
    </row>
    <row r="11" spans="1:5" ht="12.75" hidden="1" customHeight="1" x14ac:dyDescent="0.2">
      <c r="A11" s="242" t="s">
        <v>297</v>
      </c>
      <c r="B11" s="244"/>
      <c r="C11" s="244"/>
      <c r="D11" s="244"/>
      <c r="E11" s="246"/>
    </row>
    <row r="12" spans="1:5" ht="12.75" customHeight="1" x14ac:dyDescent="0.2">
      <c r="A12" s="644" t="s">
        <v>298</v>
      </c>
      <c r="B12" s="644"/>
      <c r="C12" s="248"/>
      <c r="D12" s="248"/>
      <c r="E12" s="248"/>
    </row>
    <row r="13" spans="1:5" ht="12.75" customHeight="1" x14ac:dyDescent="0.2">
      <c r="A13" s="242" t="s">
        <v>299</v>
      </c>
      <c r="B13" s="249" t="s">
        <v>509</v>
      </c>
      <c r="C13" s="249"/>
      <c r="D13" s="249"/>
      <c r="E13" s="243"/>
    </row>
    <row r="14" spans="1:5" ht="12.75" customHeight="1" x14ac:dyDescent="0.2">
      <c r="A14" s="242" t="s">
        <v>149</v>
      </c>
      <c r="B14" s="249" t="s">
        <v>510</v>
      </c>
      <c r="C14" s="249"/>
      <c r="D14" s="249"/>
      <c r="E14" s="243"/>
    </row>
    <row r="15" spans="1:5" ht="12.75" customHeight="1" x14ac:dyDescent="0.2">
      <c r="A15" s="242" t="s">
        <v>300</v>
      </c>
      <c r="B15" s="249" t="s">
        <v>507</v>
      </c>
      <c r="C15" s="249"/>
      <c r="D15" s="249"/>
      <c r="E15" s="244"/>
    </row>
    <row r="16" spans="1:5" ht="12.75" customHeight="1" x14ac:dyDescent="0.2">
      <c r="A16" s="242" t="s">
        <v>301</v>
      </c>
      <c r="B16" s="249" t="s">
        <v>508</v>
      </c>
      <c r="C16" s="249"/>
      <c r="D16" s="249"/>
      <c r="E16" s="250"/>
    </row>
    <row r="17" spans="1:5" x14ac:dyDescent="0.2">
      <c r="A17" s="350" t="s">
        <v>438</v>
      </c>
      <c r="B17" s="249" t="s">
        <v>506</v>
      </c>
      <c r="C17" s="249"/>
      <c r="D17" s="249"/>
      <c r="E17" s="251"/>
    </row>
    <row r="18" spans="1:5" x14ac:dyDescent="0.2">
      <c r="A18" s="242" t="s">
        <v>302</v>
      </c>
      <c r="B18" s="249"/>
      <c r="C18" s="249"/>
      <c r="D18" s="249"/>
      <c r="E18" s="251"/>
    </row>
    <row r="19" spans="1:5" ht="12.75" hidden="1" customHeight="1" x14ac:dyDescent="0.2">
      <c r="A19" s="242" t="s">
        <v>302</v>
      </c>
      <c r="B19" s="249"/>
      <c r="C19" s="249"/>
      <c r="D19" s="249"/>
      <c r="E19" s="250"/>
    </row>
    <row r="20" spans="1:5" ht="12.75" hidden="1" customHeight="1" x14ac:dyDescent="0.2">
      <c r="A20" s="242" t="s">
        <v>303</v>
      </c>
      <c r="B20" s="249"/>
      <c r="C20" s="249"/>
      <c r="D20" s="249"/>
      <c r="E20" s="244"/>
    </row>
    <row r="21" spans="1:5" ht="12.75" hidden="1" customHeight="1" x14ac:dyDescent="0.2">
      <c r="A21" s="242" t="s">
        <v>304</v>
      </c>
      <c r="B21" s="244"/>
      <c r="C21" s="244"/>
      <c r="D21" s="244"/>
      <c r="E21" s="250"/>
    </row>
    <row r="22" spans="1:5" ht="12.75" customHeight="1" x14ac:dyDescent="0.2">
      <c r="A22" s="644" t="s">
        <v>305</v>
      </c>
      <c r="B22" s="644"/>
      <c r="C22" s="248"/>
      <c r="D22" s="248"/>
      <c r="E22" s="248"/>
    </row>
    <row r="23" spans="1:5" ht="12.75" customHeight="1" x14ac:dyDescent="0.2">
      <c r="A23" s="242" t="s">
        <v>455</v>
      </c>
      <c r="B23" s="243" t="s">
        <v>504</v>
      </c>
      <c r="C23" s="243"/>
      <c r="D23" s="243"/>
      <c r="E23" s="243"/>
    </row>
    <row r="24" spans="1:5" ht="12.75" customHeight="1" x14ac:dyDescent="0.2">
      <c r="A24" s="242" t="s">
        <v>456</v>
      </c>
      <c r="B24" s="243" t="s">
        <v>505</v>
      </c>
      <c r="C24" s="243"/>
      <c r="D24" s="243"/>
      <c r="E24" s="243"/>
    </row>
    <row r="25" spans="1:5" ht="12" customHeight="1" x14ac:dyDescent="0.2">
      <c r="A25" s="645"/>
      <c r="B25" s="645"/>
      <c r="C25" s="248"/>
      <c r="D25" s="248"/>
      <c r="E25" s="248"/>
    </row>
    <row r="26" spans="1:5" ht="12.75" customHeight="1" x14ac:dyDescent="0.2">
      <c r="A26" s="242" t="s">
        <v>306</v>
      </c>
      <c r="B26" s="252">
        <v>34.160000000000004</v>
      </c>
      <c r="C26" s="252"/>
      <c r="D26" s="252"/>
      <c r="E26" s="246"/>
    </row>
    <row r="27" spans="1:5" ht="12.75" customHeight="1" x14ac:dyDescent="0.2">
      <c r="A27" s="242" t="s">
        <v>307</v>
      </c>
      <c r="B27" s="246" t="s">
        <v>437</v>
      </c>
      <c r="C27" s="246"/>
      <c r="D27" s="246"/>
      <c r="E27" s="246"/>
    </row>
    <row r="28" spans="1:5" ht="12.75" hidden="1" customHeight="1" x14ac:dyDescent="0.2">
      <c r="A28" s="242" t="s">
        <v>308</v>
      </c>
      <c r="B28" s="246"/>
      <c r="C28" s="246"/>
      <c r="D28" s="246"/>
      <c r="E28" s="246"/>
    </row>
    <row r="29" spans="1:5" ht="12.75" customHeight="1" x14ac:dyDescent="0.2">
      <c r="A29" s="242" t="s">
        <v>309</v>
      </c>
      <c r="B29" s="359">
        <v>48.44</v>
      </c>
      <c r="C29" s="252"/>
      <c r="D29" s="253"/>
      <c r="E29" s="252"/>
    </row>
    <row r="30" spans="1:5" ht="12.75" customHeight="1" x14ac:dyDescent="0.2">
      <c r="A30" s="242" t="s">
        <v>310</v>
      </c>
      <c r="B30" s="252">
        <v>13.52</v>
      </c>
      <c r="C30" s="252"/>
      <c r="D30" s="348"/>
      <c r="E30" s="252"/>
    </row>
    <row r="31" spans="1:5" x14ac:dyDescent="0.2">
      <c r="A31" s="105"/>
      <c r="B31" s="105"/>
      <c r="C31" s="105"/>
      <c r="D31" s="105"/>
      <c r="E31" s="105"/>
    </row>
    <row r="32" spans="1:5" ht="15.75" x14ac:dyDescent="0.2">
      <c r="A32" s="646" t="s">
        <v>233</v>
      </c>
      <c r="B32" s="646"/>
      <c r="C32" s="646"/>
      <c r="D32" s="646"/>
      <c r="E32" s="646"/>
    </row>
    <row r="33" spans="1:5" x14ac:dyDescent="0.2">
      <c r="A33" s="153"/>
      <c r="B33" s="254"/>
      <c r="C33" s="254"/>
      <c r="D33" s="254"/>
      <c r="E33" s="254"/>
    </row>
    <row r="34" spans="1:5" x14ac:dyDescent="0.2">
      <c r="A34" s="154" t="s">
        <v>185</v>
      </c>
      <c r="B34" s="153"/>
      <c r="C34" s="153"/>
      <c r="D34" s="153"/>
      <c r="E34" s="153"/>
    </row>
    <row r="35" spans="1:5" x14ac:dyDescent="0.2">
      <c r="A35" s="156" t="s">
        <v>234</v>
      </c>
      <c r="B35" s="255"/>
      <c r="C35" s="255"/>
      <c r="D35" s="255"/>
      <c r="E35" s="255"/>
    </row>
    <row r="36" spans="1:5" x14ac:dyDescent="0.2">
      <c r="A36" s="156" t="s">
        <v>235</v>
      </c>
      <c r="B36" s="255"/>
      <c r="C36" s="255"/>
      <c r="D36" s="255"/>
      <c r="E36" s="255"/>
    </row>
    <row r="37" spans="1:5" x14ac:dyDescent="0.2">
      <c r="A37" s="156" t="s">
        <v>236</v>
      </c>
      <c r="B37" s="255"/>
      <c r="C37" s="255"/>
      <c r="D37" s="255"/>
      <c r="E37" s="255"/>
    </row>
    <row r="38" spans="1:5" x14ac:dyDescent="0.2">
      <c r="A38" s="156" t="s">
        <v>237</v>
      </c>
      <c r="B38" s="255"/>
      <c r="C38" s="255"/>
      <c r="D38" s="255"/>
      <c r="E38" s="255"/>
    </row>
    <row r="39" spans="1:5" x14ac:dyDescent="0.2">
      <c r="A39" s="156" t="s">
        <v>238</v>
      </c>
      <c r="B39" s="255"/>
      <c r="C39" s="255"/>
      <c r="D39" s="255"/>
      <c r="E39" s="255"/>
    </row>
    <row r="40" spans="1:5" x14ac:dyDescent="0.2">
      <c r="A40" s="156" t="s">
        <v>239</v>
      </c>
      <c r="B40" s="255"/>
      <c r="C40" s="255"/>
      <c r="D40" s="255"/>
      <c r="E40" s="255"/>
    </row>
    <row r="41" spans="1:5" x14ac:dyDescent="0.2">
      <c r="A41" s="156" t="s">
        <v>240</v>
      </c>
      <c r="B41" s="255"/>
      <c r="C41" s="255"/>
      <c r="D41" s="255"/>
      <c r="E41" s="255"/>
    </row>
    <row r="42" spans="1:5" x14ac:dyDescent="0.2">
      <c r="A42" s="156" t="s">
        <v>241</v>
      </c>
      <c r="B42" s="255"/>
      <c r="C42" s="255"/>
      <c r="D42" s="255"/>
      <c r="E42" s="255"/>
    </row>
    <row r="43" spans="1:5" x14ac:dyDescent="0.2">
      <c r="A43" s="156" t="s">
        <v>242</v>
      </c>
      <c r="B43" s="255"/>
      <c r="C43" s="255"/>
      <c r="D43" s="255"/>
      <c r="E43" s="255"/>
    </row>
    <row r="44" spans="1:5" x14ac:dyDescent="0.2">
      <c r="A44" s="156" t="s">
        <v>243</v>
      </c>
      <c r="B44" s="255"/>
      <c r="C44" s="255"/>
      <c r="D44" s="255"/>
      <c r="E44" s="255"/>
    </row>
    <row r="45" spans="1:5" x14ac:dyDescent="0.2">
      <c r="A45" s="156" t="s">
        <v>244</v>
      </c>
      <c r="B45" s="255"/>
      <c r="C45" s="255"/>
      <c r="D45" s="255"/>
      <c r="E45" s="255"/>
    </row>
    <row r="46" spans="1:5" x14ac:dyDescent="0.2">
      <c r="A46" s="156" t="s">
        <v>245</v>
      </c>
      <c r="B46" s="255"/>
      <c r="C46" s="255"/>
      <c r="D46" s="255"/>
      <c r="E46" s="255"/>
    </row>
    <row r="47" spans="1:5" x14ac:dyDescent="0.2">
      <c r="A47" s="156" t="s">
        <v>246</v>
      </c>
      <c r="B47" s="255"/>
      <c r="C47" s="255"/>
      <c r="D47" s="255"/>
      <c r="E47" s="255"/>
    </row>
    <row r="48" spans="1:5" x14ac:dyDescent="0.2">
      <c r="A48" s="642" t="s">
        <v>247</v>
      </c>
      <c r="B48" s="642"/>
      <c r="C48" s="642"/>
      <c r="D48" s="642"/>
      <c r="E48" s="642"/>
    </row>
    <row r="49" spans="1:5" x14ac:dyDescent="0.2">
      <c r="A49" s="151" t="s">
        <v>248</v>
      </c>
      <c r="B49" s="256"/>
      <c r="C49" s="256"/>
      <c r="D49" s="256"/>
      <c r="E49" s="256"/>
    </row>
    <row r="50" spans="1:5" x14ac:dyDescent="0.2">
      <c r="A50" s="151" t="s">
        <v>250</v>
      </c>
      <c r="B50" s="257"/>
      <c r="C50" s="257"/>
      <c r="D50" s="257"/>
      <c r="E50" s="257"/>
    </row>
    <row r="51" spans="1:5" x14ac:dyDescent="0.2">
      <c r="A51" s="151" t="s">
        <v>251</v>
      </c>
      <c r="B51" s="257"/>
      <c r="C51" s="257"/>
      <c r="D51" s="257"/>
      <c r="E51" s="257"/>
    </row>
    <row r="52" spans="1:5" x14ac:dyDescent="0.2">
      <c r="A52" s="151" t="s">
        <v>252</v>
      </c>
      <c r="B52" s="257"/>
      <c r="C52" s="257"/>
      <c r="D52" s="257"/>
      <c r="E52" s="257"/>
    </row>
    <row r="53" spans="1:5" x14ac:dyDescent="0.2">
      <c r="A53" s="151" t="s">
        <v>253</v>
      </c>
      <c r="B53" s="257"/>
      <c r="C53" s="257"/>
      <c r="D53" s="257"/>
      <c r="E53" s="257"/>
    </row>
    <row r="54" spans="1:5" x14ac:dyDescent="0.2">
      <c r="A54" s="151" t="s">
        <v>254</v>
      </c>
      <c r="B54" s="257"/>
      <c r="C54" s="257"/>
      <c r="D54" s="257"/>
      <c r="E54" s="257"/>
    </row>
    <row r="55" spans="1:5" x14ac:dyDescent="0.2">
      <c r="A55" s="151" t="s">
        <v>255</v>
      </c>
      <c r="B55" s="257"/>
      <c r="C55" s="257"/>
      <c r="D55" s="257"/>
      <c r="E55" s="257"/>
    </row>
    <row r="56" spans="1:5" x14ac:dyDescent="0.2">
      <c r="A56" s="151" t="s">
        <v>256</v>
      </c>
      <c r="B56" s="257"/>
      <c r="C56" s="257"/>
      <c r="D56" s="257"/>
      <c r="E56" s="257"/>
    </row>
    <row r="57" spans="1:5" x14ac:dyDescent="0.2">
      <c r="A57" s="642" t="s">
        <v>257</v>
      </c>
      <c r="B57" s="642"/>
      <c r="C57" s="642"/>
      <c r="D57" s="642"/>
      <c r="E57" s="642"/>
    </row>
    <row r="58" spans="1:5" x14ac:dyDescent="0.2">
      <c r="A58" s="151" t="s">
        <v>258</v>
      </c>
      <c r="B58" s="258"/>
      <c r="C58" s="258"/>
      <c r="D58" s="258"/>
      <c r="E58" s="258"/>
    </row>
    <row r="59" spans="1:5" x14ac:dyDescent="0.2">
      <c r="A59" s="151" t="s">
        <v>259</v>
      </c>
      <c r="B59" s="258"/>
      <c r="C59" s="258"/>
      <c r="D59" s="258"/>
      <c r="E59" s="258"/>
    </row>
    <row r="60" spans="1:5" x14ac:dyDescent="0.2">
      <c r="A60" s="151" t="s">
        <v>260</v>
      </c>
      <c r="B60" s="259"/>
      <c r="C60" s="259"/>
      <c r="D60" s="259"/>
      <c r="E60" s="259"/>
    </row>
    <row r="61" spans="1:5" x14ac:dyDescent="0.2">
      <c r="A61" s="642" t="s">
        <v>261</v>
      </c>
      <c r="B61" s="642"/>
      <c r="C61" s="642"/>
      <c r="D61" s="642"/>
      <c r="E61" s="642"/>
    </row>
    <row r="62" spans="1:5" x14ac:dyDescent="0.2">
      <c r="A62" s="151" t="s">
        <v>262</v>
      </c>
      <c r="B62" s="260"/>
      <c r="C62" s="260"/>
      <c r="D62" s="260"/>
      <c r="E62" s="260"/>
    </row>
    <row r="63" spans="1:5" x14ac:dyDescent="0.2">
      <c r="A63" s="151" t="s">
        <v>263</v>
      </c>
      <c r="B63" s="260"/>
      <c r="C63" s="260"/>
      <c r="D63" s="260"/>
      <c r="E63" s="260"/>
    </row>
    <row r="64" spans="1:5" x14ac:dyDescent="0.2">
      <c r="A64" s="151" t="s">
        <v>250</v>
      </c>
      <c r="B64" s="260"/>
      <c r="C64" s="260"/>
      <c r="D64" s="260"/>
      <c r="E64" s="260"/>
    </row>
    <row r="65" spans="1:5" x14ac:dyDescent="0.2">
      <c r="A65" s="151" t="s">
        <v>251</v>
      </c>
      <c r="B65" s="260"/>
      <c r="C65" s="260"/>
      <c r="D65" s="260"/>
      <c r="E65" s="260"/>
    </row>
    <row r="66" spans="1:5" x14ac:dyDescent="0.2">
      <c r="A66" s="151" t="s">
        <v>252</v>
      </c>
      <c r="B66" s="260"/>
      <c r="C66" s="260"/>
      <c r="D66" s="260"/>
      <c r="E66" s="260"/>
    </row>
    <row r="67" spans="1:5" x14ac:dyDescent="0.2">
      <c r="A67" s="151" t="s">
        <v>253</v>
      </c>
      <c r="B67" s="260"/>
      <c r="C67" s="260"/>
      <c r="D67" s="260"/>
      <c r="E67" s="260"/>
    </row>
    <row r="68" spans="1:5" x14ac:dyDescent="0.2">
      <c r="A68" s="151" t="s">
        <v>264</v>
      </c>
      <c r="B68" s="260"/>
      <c r="C68" s="260"/>
      <c r="D68" s="260"/>
      <c r="E68" s="260"/>
    </row>
    <row r="69" spans="1:5" x14ac:dyDescent="0.2">
      <c r="A69" s="151" t="s">
        <v>265</v>
      </c>
      <c r="B69" s="257"/>
      <c r="C69" s="257"/>
      <c r="D69" s="257"/>
      <c r="E69" s="257"/>
    </row>
    <row r="70" spans="1:5" x14ac:dyDescent="0.2">
      <c r="A70" s="642" t="s">
        <v>266</v>
      </c>
      <c r="B70" s="642"/>
      <c r="C70" s="642"/>
      <c r="D70" s="642"/>
      <c r="E70" s="642"/>
    </row>
    <row r="71" spans="1:5" x14ac:dyDescent="0.2">
      <c r="A71" s="151" t="s">
        <v>267</v>
      </c>
      <c r="B71" s="257"/>
      <c r="C71" s="257"/>
      <c r="D71" s="257"/>
      <c r="E71" s="257"/>
    </row>
    <row r="72" spans="1:5" x14ac:dyDescent="0.2">
      <c r="A72" s="151" t="s">
        <v>268</v>
      </c>
      <c r="B72" s="257"/>
      <c r="C72" s="257"/>
      <c r="D72" s="257"/>
      <c r="E72" s="257"/>
    </row>
    <row r="73" spans="1:5" x14ac:dyDescent="0.2">
      <c r="A73" s="151" t="s">
        <v>269</v>
      </c>
      <c r="B73" s="257"/>
      <c r="C73" s="257"/>
      <c r="D73" s="257"/>
      <c r="E73" s="257"/>
    </row>
    <row r="74" spans="1:5" x14ac:dyDescent="0.2">
      <c r="A74" s="151" t="s">
        <v>269</v>
      </c>
      <c r="B74" s="257"/>
      <c r="C74" s="257"/>
      <c r="D74" s="257"/>
      <c r="E74" s="257"/>
    </row>
    <row r="75" spans="1:5" x14ac:dyDescent="0.2">
      <c r="A75" s="151" t="s">
        <v>269</v>
      </c>
      <c r="B75" s="257"/>
      <c r="C75" s="257"/>
      <c r="D75" s="257"/>
      <c r="E75" s="257"/>
    </row>
    <row r="76" spans="1:5" x14ac:dyDescent="0.2">
      <c r="A76" s="151" t="s">
        <v>269</v>
      </c>
      <c r="B76" s="257"/>
      <c r="C76" s="257"/>
      <c r="D76" s="257"/>
      <c r="E76" s="257"/>
    </row>
    <row r="77" spans="1:5" x14ac:dyDescent="0.2">
      <c r="A77" s="151" t="s">
        <v>270</v>
      </c>
      <c r="B77" s="257"/>
      <c r="C77" s="257"/>
      <c r="D77" s="257"/>
      <c r="E77" s="257"/>
    </row>
    <row r="78" spans="1:5" x14ac:dyDescent="0.2">
      <c r="A78" s="151" t="s">
        <v>271</v>
      </c>
      <c r="B78" s="257"/>
      <c r="C78" s="257"/>
      <c r="D78" s="257"/>
      <c r="E78" s="257"/>
    </row>
    <row r="79" spans="1:5" x14ac:dyDescent="0.2">
      <c r="A79" s="105"/>
      <c r="B79" s="105"/>
      <c r="C79" s="105"/>
      <c r="D79" s="105"/>
      <c r="E79" s="105"/>
    </row>
    <row r="80" spans="1:5" ht="15.75" x14ac:dyDescent="0.2">
      <c r="A80" s="646" t="s">
        <v>233</v>
      </c>
      <c r="B80" s="646"/>
      <c r="C80" s="646"/>
      <c r="D80" s="646"/>
      <c r="E80" s="646"/>
    </row>
    <row r="81" spans="1:5" x14ac:dyDescent="0.2">
      <c r="A81" s="153"/>
      <c r="B81" s="254"/>
      <c r="C81" s="254"/>
      <c r="D81" s="254"/>
      <c r="E81" s="254"/>
    </row>
    <row r="82" spans="1:5" x14ac:dyDescent="0.2">
      <c r="A82" s="154" t="s">
        <v>185</v>
      </c>
      <c r="B82" s="153"/>
      <c r="C82" s="153"/>
      <c r="D82" s="153"/>
      <c r="E82" s="153"/>
    </row>
    <row r="83" spans="1:5" x14ac:dyDescent="0.2">
      <c r="A83" s="156" t="s">
        <v>234</v>
      </c>
      <c r="B83" s="255"/>
      <c r="C83" s="255"/>
      <c r="D83" s="255"/>
      <c r="E83" s="255"/>
    </row>
    <row r="84" spans="1:5" x14ac:dyDescent="0.2">
      <c r="A84" s="156" t="s">
        <v>235</v>
      </c>
      <c r="B84" s="255"/>
      <c r="C84" s="255"/>
      <c r="D84" s="255"/>
      <c r="E84" s="255"/>
    </row>
    <row r="85" spans="1:5" x14ac:dyDescent="0.2">
      <c r="A85" s="156" t="s">
        <v>236</v>
      </c>
      <c r="B85" s="255"/>
      <c r="C85" s="255"/>
      <c r="D85" s="255"/>
      <c r="E85" s="255"/>
    </row>
    <row r="86" spans="1:5" x14ac:dyDescent="0.2">
      <c r="A86" s="156" t="s">
        <v>237</v>
      </c>
      <c r="B86" s="255"/>
      <c r="C86" s="255"/>
      <c r="D86" s="255"/>
      <c r="E86" s="255"/>
    </row>
    <row r="87" spans="1:5" x14ac:dyDescent="0.2">
      <c r="A87" s="156" t="s">
        <v>238</v>
      </c>
      <c r="B87" s="255"/>
      <c r="C87" s="255"/>
      <c r="D87" s="255"/>
      <c r="E87" s="255"/>
    </row>
    <row r="88" spans="1:5" x14ac:dyDescent="0.2">
      <c r="A88" s="156" t="s">
        <v>239</v>
      </c>
      <c r="B88" s="255"/>
      <c r="C88" s="255"/>
      <c r="D88" s="255"/>
      <c r="E88" s="255"/>
    </row>
    <row r="89" spans="1:5" x14ac:dyDescent="0.2">
      <c r="A89" s="156" t="s">
        <v>240</v>
      </c>
      <c r="B89" s="255"/>
      <c r="C89" s="255"/>
      <c r="D89" s="255"/>
      <c r="E89" s="255"/>
    </row>
    <row r="90" spans="1:5" x14ac:dyDescent="0.2">
      <c r="A90" s="156" t="s">
        <v>241</v>
      </c>
      <c r="B90" s="255"/>
      <c r="C90" s="255"/>
      <c r="D90" s="255"/>
      <c r="E90" s="255"/>
    </row>
    <row r="91" spans="1:5" x14ac:dyDescent="0.2">
      <c r="A91" s="156" t="s">
        <v>242</v>
      </c>
      <c r="B91" s="255"/>
      <c r="C91" s="255"/>
      <c r="D91" s="255"/>
      <c r="E91" s="255"/>
    </row>
    <row r="92" spans="1:5" x14ac:dyDescent="0.2">
      <c r="A92" s="156" t="s">
        <v>243</v>
      </c>
      <c r="B92" s="255"/>
      <c r="C92" s="255"/>
      <c r="D92" s="255"/>
      <c r="E92" s="255"/>
    </row>
    <row r="93" spans="1:5" x14ac:dyDescent="0.2">
      <c r="A93" s="156" t="s">
        <v>244</v>
      </c>
      <c r="B93" s="255"/>
      <c r="C93" s="255"/>
      <c r="D93" s="255"/>
      <c r="E93" s="255"/>
    </row>
    <row r="94" spans="1:5" x14ac:dyDescent="0.2">
      <c r="A94" s="156" t="s">
        <v>245</v>
      </c>
      <c r="B94" s="255"/>
      <c r="C94" s="255"/>
      <c r="D94" s="255"/>
      <c r="E94" s="255"/>
    </row>
    <row r="95" spans="1:5" x14ac:dyDescent="0.2">
      <c r="A95" s="156" t="s">
        <v>246</v>
      </c>
      <c r="B95" s="255"/>
      <c r="C95" s="255"/>
      <c r="D95" s="255"/>
      <c r="E95" s="255"/>
    </row>
    <row r="96" spans="1:5" x14ac:dyDescent="0.2">
      <c r="A96" s="642" t="s">
        <v>247</v>
      </c>
      <c r="B96" s="642"/>
      <c r="C96" s="642"/>
      <c r="D96" s="642"/>
      <c r="E96" s="642"/>
    </row>
    <row r="97" spans="1:5" x14ac:dyDescent="0.2">
      <c r="A97" s="151" t="s">
        <v>248</v>
      </c>
      <c r="B97" s="256"/>
      <c r="C97" s="256"/>
      <c r="D97" s="256"/>
      <c r="E97" s="256"/>
    </row>
    <row r="98" spans="1:5" x14ac:dyDescent="0.2">
      <c r="A98" s="151" t="s">
        <v>250</v>
      </c>
      <c r="B98" s="257"/>
      <c r="C98" s="257"/>
      <c r="D98" s="257"/>
      <c r="E98" s="257"/>
    </row>
    <row r="99" spans="1:5" x14ac:dyDescent="0.2">
      <c r="A99" s="151" t="s">
        <v>251</v>
      </c>
      <c r="B99" s="257"/>
      <c r="C99" s="257"/>
      <c r="D99" s="257"/>
      <c r="E99" s="257"/>
    </row>
    <row r="100" spans="1:5" x14ac:dyDescent="0.2">
      <c r="A100" s="151" t="s">
        <v>252</v>
      </c>
      <c r="B100" s="257"/>
      <c r="C100" s="257"/>
      <c r="D100" s="257"/>
      <c r="E100" s="257"/>
    </row>
    <row r="101" spans="1:5" x14ac:dyDescent="0.2">
      <c r="A101" s="151" t="s">
        <v>253</v>
      </c>
      <c r="B101" s="257"/>
      <c r="C101" s="257"/>
      <c r="D101" s="257"/>
      <c r="E101" s="257"/>
    </row>
    <row r="102" spans="1:5" x14ac:dyDescent="0.2">
      <c r="A102" s="151" t="s">
        <v>254</v>
      </c>
      <c r="B102" s="257"/>
      <c r="C102" s="257"/>
      <c r="D102" s="257"/>
      <c r="E102" s="257"/>
    </row>
    <row r="103" spans="1:5" x14ac:dyDescent="0.2">
      <c r="A103" s="151" t="s">
        <v>255</v>
      </c>
      <c r="B103" s="257"/>
      <c r="C103" s="257"/>
      <c r="D103" s="257"/>
      <c r="E103" s="257"/>
    </row>
    <row r="104" spans="1:5" x14ac:dyDescent="0.2">
      <c r="A104" s="151" t="s">
        <v>256</v>
      </c>
      <c r="B104" s="257"/>
      <c r="C104" s="257"/>
      <c r="D104" s="257"/>
      <c r="E104" s="257"/>
    </row>
    <row r="105" spans="1:5" x14ac:dyDescent="0.2">
      <c r="A105" s="642" t="s">
        <v>257</v>
      </c>
      <c r="B105" s="642"/>
      <c r="C105" s="642"/>
      <c r="D105" s="642"/>
      <c r="E105" s="642"/>
    </row>
    <row r="106" spans="1:5" x14ac:dyDescent="0.2">
      <c r="A106" s="151" t="s">
        <v>258</v>
      </c>
      <c r="B106" s="258"/>
      <c r="C106" s="256"/>
      <c r="D106" s="256"/>
      <c r="E106" s="256"/>
    </row>
    <row r="107" spans="1:5" x14ac:dyDescent="0.2">
      <c r="A107" s="151" t="s">
        <v>259</v>
      </c>
      <c r="B107" s="258"/>
      <c r="C107" s="256"/>
      <c r="D107" s="256"/>
      <c r="E107" s="256"/>
    </row>
    <row r="108" spans="1:5" x14ac:dyDescent="0.2">
      <c r="A108" s="151" t="s">
        <v>260</v>
      </c>
      <c r="B108" s="259"/>
      <c r="C108" s="256"/>
      <c r="D108" s="256"/>
      <c r="E108" s="256"/>
    </row>
    <row r="109" spans="1:5" x14ac:dyDescent="0.2">
      <c r="A109" s="642" t="s">
        <v>261</v>
      </c>
      <c r="B109" s="642"/>
      <c r="C109" s="642"/>
      <c r="D109" s="642"/>
      <c r="E109" s="642"/>
    </row>
    <row r="110" spans="1:5" x14ac:dyDescent="0.2">
      <c r="A110" s="151" t="s">
        <v>262</v>
      </c>
      <c r="B110" s="260"/>
      <c r="C110" s="260"/>
      <c r="D110" s="260"/>
      <c r="E110" s="260"/>
    </row>
    <row r="111" spans="1:5" x14ac:dyDescent="0.2">
      <c r="A111" s="151" t="s">
        <v>263</v>
      </c>
      <c r="B111" s="260"/>
      <c r="C111" s="260"/>
      <c r="D111" s="260"/>
      <c r="E111" s="260"/>
    </row>
    <row r="112" spans="1:5" x14ac:dyDescent="0.2">
      <c r="A112" s="151" t="s">
        <v>250</v>
      </c>
      <c r="B112" s="260"/>
      <c r="C112" s="260"/>
      <c r="D112" s="260"/>
      <c r="E112" s="260"/>
    </row>
    <row r="113" spans="1:5" x14ac:dyDescent="0.2">
      <c r="A113" s="151" t="s">
        <v>251</v>
      </c>
      <c r="B113" s="260"/>
      <c r="C113" s="260"/>
      <c r="D113" s="260"/>
      <c r="E113" s="260"/>
    </row>
    <row r="114" spans="1:5" x14ac:dyDescent="0.2">
      <c r="A114" s="151" t="s">
        <v>252</v>
      </c>
      <c r="B114" s="260"/>
      <c r="C114" s="260"/>
      <c r="D114" s="260"/>
      <c r="E114" s="260"/>
    </row>
    <row r="115" spans="1:5" x14ac:dyDescent="0.2">
      <c r="A115" s="151" t="s">
        <v>253</v>
      </c>
      <c r="B115" s="260"/>
      <c r="C115" s="260"/>
      <c r="D115" s="260"/>
      <c r="E115" s="260"/>
    </row>
    <row r="116" spans="1:5" x14ac:dyDescent="0.2">
      <c r="A116" s="151" t="s">
        <v>264</v>
      </c>
      <c r="B116" s="260"/>
      <c r="C116" s="260"/>
      <c r="D116" s="260"/>
      <c r="E116" s="260"/>
    </row>
    <row r="117" spans="1:5" x14ac:dyDescent="0.2">
      <c r="A117" s="151" t="s">
        <v>265</v>
      </c>
      <c r="B117" s="257"/>
      <c r="C117" s="257"/>
      <c r="D117" s="257"/>
      <c r="E117" s="257"/>
    </row>
    <row r="118" spans="1:5" x14ac:dyDescent="0.2">
      <c r="A118" s="642" t="s">
        <v>266</v>
      </c>
      <c r="B118" s="642"/>
      <c r="C118" s="642"/>
      <c r="D118" s="642"/>
      <c r="E118" s="642"/>
    </row>
    <row r="119" spans="1:5" x14ac:dyDescent="0.2">
      <c r="A119" s="151" t="s">
        <v>267</v>
      </c>
      <c r="B119" s="257"/>
      <c r="C119" s="257"/>
      <c r="D119" s="257"/>
      <c r="E119" s="257"/>
    </row>
    <row r="120" spans="1:5" x14ac:dyDescent="0.2">
      <c r="A120" s="151" t="s">
        <v>268</v>
      </c>
      <c r="B120" s="257"/>
      <c r="C120" s="257"/>
      <c r="D120" s="257"/>
      <c r="E120" s="257"/>
    </row>
    <row r="121" spans="1:5" x14ac:dyDescent="0.2">
      <c r="A121" s="151" t="s">
        <v>269</v>
      </c>
      <c r="B121" s="257"/>
      <c r="C121" s="257"/>
      <c r="D121" s="257"/>
      <c r="E121" s="257"/>
    </row>
    <row r="122" spans="1:5" x14ac:dyDescent="0.2">
      <c r="A122" s="151" t="s">
        <v>269</v>
      </c>
      <c r="B122" s="257"/>
      <c r="C122" s="257"/>
      <c r="D122" s="257"/>
      <c r="E122" s="257"/>
    </row>
    <row r="123" spans="1:5" x14ac:dyDescent="0.2">
      <c r="A123" s="151" t="s">
        <v>269</v>
      </c>
      <c r="B123" s="257"/>
      <c r="C123" s="257"/>
      <c r="D123" s="257"/>
      <c r="E123" s="257"/>
    </row>
    <row r="124" spans="1:5" x14ac:dyDescent="0.2">
      <c r="A124" s="151" t="s">
        <v>269</v>
      </c>
      <c r="B124" s="257"/>
      <c r="C124" s="257"/>
      <c r="D124" s="257"/>
      <c r="E124" s="257"/>
    </row>
    <row r="125" spans="1:5" x14ac:dyDescent="0.2">
      <c r="A125" s="151" t="s">
        <v>270</v>
      </c>
      <c r="B125" s="257"/>
      <c r="C125" s="257"/>
      <c r="D125" s="257"/>
      <c r="E125" s="257"/>
    </row>
    <row r="126" spans="1:5" x14ac:dyDescent="0.2">
      <c r="A126" s="151" t="s">
        <v>271</v>
      </c>
      <c r="B126" s="257"/>
      <c r="C126" s="257"/>
      <c r="D126" s="257"/>
      <c r="E126" s="257"/>
    </row>
    <row r="127" spans="1:5" x14ac:dyDescent="0.2">
      <c r="A127" s="105"/>
      <c r="B127" s="105"/>
      <c r="C127" s="105"/>
      <c r="D127" s="105"/>
      <c r="E127" s="105"/>
    </row>
    <row r="128" spans="1:5" ht="15.75" x14ac:dyDescent="0.2">
      <c r="A128" s="646" t="s">
        <v>233</v>
      </c>
      <c r="B128" s="646"/>
      <c r="C128" s="646"/>
      <c r="D128" s="646"/>
      <c r="E128" s="646"/>
    </row>
    <row r="129" spans="1:5" x14ac:dyDescent="0.2">
      <c r="A129" s="153"/>
      <c r="B129" s="254"/>
      <c r="C129" s="254"/>
      <c r="D129" s="254"/>
      <c r="E129" s="254"/>
    </row>
    <row r="130" spans="1:5" x14ac:dyDescent="0.2">
      <c r="A130" s="154" t="s">
        <v>185</v>
      </c>
      <c r="B130" s="153"/>
      <c r="C130" s="153"/>
      <c r="D130" s="153"/>
      <c r="E130" s="153"/>
    </row>
    <row r="131" spans="1:5" x14ac:dyDescent="0.2">
      <c r="A131" s="156" t="s">
        <v>234</v>
      </c>
      <c r="B131" s="255"/>
      <c r="C131" s="255"/>
      <c r="D131" s="255"/>
      <c r="E131" s="255"/>
    </row>
    <row r="132" spans="1:5" x14ac:dyDescent="0.2">
      <c r="A132" s="156" t="s">
        <v>235</v>
      </c>
      <c r="B132" s="255"/>
      <c r="C132" s="255"/>
      <c r="D132" s="255"/>
      <c r="E132" s="255"/>
    </row>
    <row r="133" spans="1:5" x14ac:dyDescent="0.2">
      <c r="A133" s="156" t="s">
        <v>236</v>
      </c>
      <c r="B133" s="255"/>
      <c r="C133" s="255"/>
      <c r="D133" s="255"/>
      <c r="E133" s="255"/>
    </row>
    <row r="134" spans="1:5" x14ac:dyDescent="0.2">
      <c r="A134" s="156" t="s">
        <v>237</v>
      </c>
      <c r="B134" s="255"/>
      <c r="C134" s="255"/>
      <c r="D134" s="255"/>
      <c r="E134" s="255"/>
    </row>
    <row r="135" spans="1:5" x14ac:dyDescent="0.2">
      <c r="A135" s="156" t="s">
        <v>238</v>
      </c>
      <c r="B135" s="255"/>
      <c r="C135" s="255"/>
      <c r="D135" s="255"/>
      <c r="E135" s="255"/>
    </row>
    <row r="136" spans="1:5" x14ac:dyDescent="0.2">
      <c r="A136" s="156" t="s">
        <v>239</v>
      </c>
      <c r="B136" s="255"/>
      <c r="C136" s="255"/>
      <c r="D136" s="255"/>
      <c r="E136" s="255"/>
    </row>
    <row r="137" spans="1:5" x14ac:dyDescent="0.2">
      <c r="A137" s="156" t="s">
        <v>240</v>
      </c>
      <c r="B137" s="255"/>
      <c r="C137" s="255"/>
      <c r="D137" s="255"/>
      <c r="E137" s="255"/>
    </row>
    <row r="138" spans="1:5" x14ac:dyDescent="0.2">
      <c r="A138" s="156" t="s">
        <v>241</v>
      </c>
      <c r="B138" s="255"/>
      <c r="C138" s="255"/>
      <c r="D138" s="255"/>
      <c r="E138" s="255"/>
    </row>
    <row r="139" spans="1:5" x14ac:dyDescent="0.2">
      <c r="A139" s="156" t="s">
        <v>242</v>
      </c>
      <c r="B139" s="255"/>
      <c r="C139" s="255"/>
      <c r="D139" s="255"/>
      <c r="E139" s="255"/>
    </row>
    <row r="140" spans="1:5" x14ac:dyDescent="0.2">
      <c r="A140" s="156" t="s">
        <v>243</v>
      </c>
      <c r="B140" s="255"/>
      <c r="C140" s="255"/>
      <c r="D140" s="255"/>
      <c r="E140" s="255"/>
    </row>
    <row r="141" spans="1:5" x14ac:dyDescent="0.2">
      <c r="A141" s="156" t="s">
        <v>244</v>
      </c>
      <c r="B141" s="255"/>
      <c r="C141" s="255"/>
      <c r="D141" s="255"/>
      <c r="E141" s="255"/>
    </row>
    <row r="142" spans="1:5" x14ac:dyDescent="0.2">
      <c r="A142" s="156" t="s">
        <v>245</v>
      </c>
      <c r="B142" s="255"/>
      <c r="C142" s="255"/>
      <c r="D142" s="255"/>
      <c r="E142" s="255"/>
    </row>
    <row r="143" spans="1:5" x14ac:dyDescent="0.2">
      <c r="A143" s="156" t="s">
        <v>246</v>
      </c>
      <c r="B143" s="255"/>
      <c r="C143" s="255"/>
      <c r="D143" s="255"/>
      <c r="E143" s="255"/>
    </row>
    <row r="144" spans="1:5" x14ac:dyDescent="0.2">
      <c r="A144" s="642" t="s">
        <v>247</v>
      </c>
      <c r="B144" s="642"/>
      <c r="C144" s="642"/>
      <c r="D144" s="642"/>
      <c r="E144" s="642"/>
    </row>
    <row r="145" spans="1:5" x14ac:dyDescent="0.2">
      <c r="A145" s="151" t="s">
        <v>248</v>
      </c>
      <c r="B145" s="256"/>
      <c r="C145" s="256"/>
      <c r="D145" s="256"/>
      <c r="E145" s="256"/>
    </row>
    <row r="146" spans="1:5" x14ac:dyDescent="0.2">
      <c r="A146" s="151" t="s">
        <v>250</v>
      </c>
      <c r="B146" s="257"/>
      <c r="C146" s="257"/>
      <c r="D146" s="257"/>
      <c r="E146" s="257"/>
    </row>
    <row r="147" spans="1:5" x14ac:dyDescent="0.2">
      <c r="A147" s="151" t="s">
        <v>251</v>
      </c>
      <c r="B147" s="257"/>
      <c r="C147" s="257"/>
      <c r="D147" s="257"/>
      <c r="E147" s="257"/>
    </row>
    <row r="148" spans="1:5" x14ac:dyDescent="0.2">
      <c r="A148" s="151" t="s">
        <v>252</v>
      </c>
      <c r="B148" s="257"/>
      <c r="C148" s="257"/>
      <c r="D148" s="257"/>
      <c r="E148" s="257"/>
    </row>
    <row r="149" spans="1:5" x14ac:dyDescent="0.2">
      <c r="A149" s="151" t="s">
        <v>253</v>
      </c>
      <c r="B149" s="257"/>
      <c r="C149" s="257"/>
      <c r="D149" s="257"/>
      <c r="E149" s="257"/>
    </row>
    <row r="150" spans="1:5" x14ac:dyDescent="0.2">
      <c r="A150" s="151" t="s">
        <v>254</v>
      </c>
      <c r="B150" s="257"/>
      <c r="C150" s="257"/>
      <c r="D150" s="257"/>
      <c r="E150" s="257"/>
    </row>
    <row r="151" spans="1:5" x14ac:dyDescent="0.2">
      <c r="A151" s="151" t="s">
        <v>255</v>
      </c>
      <c r="B151" s="257"/>
      <c r="C151" s="257"/>
      <c r="D151" s="257"/>
      <c r="E151" s="257"/>
    </row>
    <row r="152" spans="1:5" x14ac:dyDescent="0.2">
      <c r="A152" s="151" t="s">
        <v>256</v>
      </c>
      <c r="B152" s="257"/>
      <c r="C152" s="257"/>
      <c r="D152" s="257"/>
      <c r="E152" s="257"/>
    </row>
    <row r="153" spans="1:5" x14ac:dyDescent="0.2">
      <c r="A153" s="642" t="s">
        <v>257</v>
      </c>
      <c r="B153" s="642"/>
      <c r="C153" s="642"/>
      <c r="D153" s="642"/>
      <c r="E153" s="642"/>
    </row>
    <row r="154" spans="1:5" x14ac:dyDescent="0.2">
      <c r="A154" s="151" t="s">
        <v>258</v>
      </c>
      <c r="B154" s="256"/>
      <c r="C154" s="256"/>
      <c r="D154" s="256"/>
      <c r="E154" s="256"/>
    </row>
    <row r="155" spans="1:5" x14ac:dyDescent="0.2">
      <c r="A155" s="151" t="s">
        <v>259</v>
      </c>
      <c r="B155" s="256"/>
      <c r="C155" s="256"/>
      <c r="D155" s="256"/>
      <c r="E155" s="256"/>
    </row>
    <row r="156" spans="1:5" x14ac:dyDescent="0.2">
      <c r="A156" s="151" t="s">
        <v>260</v>
      </c>
      <c r="B156" s="256"/>
      <c r="C156" s="256"/>
      <c r="D156" s="256"/>
      <c r="E156" s="256"/>
    </row>
    <row r="157" spans="1:5" x14ac:dyDescent="0.2">
      <c r="A157" s="642" t="s">
        <v>261</v>
      </c>
      <c r="B157" s="642"/>
      <c r="C157" s="642"/>
      <c r="D157" s="642"/>
      <c r="E157" s="642"/>
    </row>
    <row r="158" spans="1:5" x14ac:dyDescent="0.2">
      <c r="A158" s="151" t="s">
        <v>262</v>
      </c>
      <c r="B158" s="260"/>
      <c r="C158" s="260"/>
      <c r="D158" s="260"/>
      <c r="E158" s="260"/>
    </row>
    <row r="159" spans="1:5" x14ac:dyDescent="0.2">
      <c r="A159" s="151" t="s">
        <v>263</v>
      </c>
      <c r="B159" s="260"/>
      <c r="C159" s="260"/>
      <c r="D159" s="260"/>
      <c r="E159" s="260"/>
    </row>
    <row r="160" spans="1:5" x14ac:dyDescent="0.2">
      <c r="A160" s="151" t="s">
        <v>250</v>
      </c>
      <c r="B160" s="260"/>
      <c r="C160" s="260"/>
      <c r="D160" s="260"/>
      <c r="E160" s="260"/>
    </row>
    <row r="161" spans="1:5" x14ac:dyDescent="0.2">
      <c r="A161" s="151" t="s">
        <v>251</v>
      </c>
      <c r="B161" s="260"/>
      <c r="C161" s="260"/>
      <c r="D161" s="260"/>
      <c r="E161" s="260"/>
    </row>
    <row r="162" spans="1:5" x14ac:dyDescent="0.2">
      <c r="A162" s="151" t="s">
        <v>252</v>
      </c>
      <c r="B162" s="260"/>
      <c r="C162" s="260"/>
      <c r="D162" s="260"/>
      <c r="E162" s="260"/>
    </row>
    <row r="163" spans="1:5" x14ac:dyDescent="0.2">
      <c r="A163" s="151" t="s">
        <v>253</v>
      </c>
      <c r="B163" s="260"/>
      <c r="C163" s="260"/>
      <c r="D163" s="260"/>
      <c r="E163" s="260"/>
    </row>
    <row r="164" spans="1:5" x14ac:dyDescent="0.2">
      <c r="A164" s="151" t="s">
        <v>264</v>
      </c>
      <c r="B164" s="260"/>
      <c r="C164" s="260"/>
      <c r="D164" s="260"/>
      <c r="E164" s="260"/>
    </row>
    <row r="165" spans="1:5" x14ac:dyDescent="0.2">
      <c r="A165" s="151" t="s">
        <v>265</v>
      </c>
      <c r="B165" s="257"/>
      <c r="C165" s="257"/>
      <c r="D165" s="257"/>
      <c r="E165" s="257"/>
    </row>
    <row r="166" spans="1:5" x14ac:dyDescent="0.2">
      <c r="A166" s="642" t="s">
        <v>266</v>
      </c>
      <c r="B166" s="642"/>
      <c r="C166" s="642"/>
      <c r="D166" s="642"/>
      <c r="E166" s="642"/>
    </row>
    <row r="167" spans="1:5" x14ac:dyDescent="0.2">
      <c r="A167" s="151" t="s">
        <v>267</v>
      </c>
      <c r="B167" s="257"/>
      <c r="C167" s="257"/>
      <c r="D167" s="257"/>
      <c r="E167" s="257"/>
    </row>
    <row r="168" spans="1:5" x14ac:dyDescent="0.2">
      <c r="A168" s="151" t="s">
        <v>268</v>
      </c>
      <c r="B168" s="257"/>
      <c r="C168" s="257"/>
      <c r="D168" s="257"/>
      <c r="E168" s="257"/>
    </row>
    <row r="169" spans="1:5" x14ac:dyDescent="0.2">
      <c r="A169" s="151" t="s">
        <v>269</v>
      </c>
      <c r="B169" s="257"/>
      <c r="C169" s="257"/>
      <c r="D169" s="257"/>
      <c r="E169" s="257"/>
    </row>
    <row r="170" spans="1:5" x14ac:dyDescent="0.2">
      <c r="A170" s="151" t="s">
        <v>269</v>
      </c>
      <c r="B170" s="257"/>
      <c r="C170" s="257"/>
      <c r="D170" s="257"/>
      <c r="E170" s="257"/>
    </row>
    <row r="171" spans="1:5" x14ac:dyDescent="0.2">
      <c r="A171" s="151" t="s">
        <v>269</v>
      </c>
      <c r="B171" s="257"/>
      <c r="C171" s="257"/>
      <c r="D171" s="257"/>
      <c r="E171" s="257"/>
    </row>
    <row r="172" spans="1:5" x14ac:dyDescent="0.2">
      <c r="A172" s="151" t="s">
        <v>269</v>
      </c>
      <c r="B172" s="257"/>
      <c r="C172" s="257"/>
      <c r="D172" s="257"/>
      <c r="E172" s="257"/>
    </row>
    <row r="173" spans="1:5" x14ac:dyDescent="0.2">
      <c r="A173" s="151" t="s">
        <v>270</v>
      </c>
      <c r="B173" s="257"/>
      <c r="C173" s="257"/>
      <c r="D173" s="257"/>
      <c r="E173" s="257"/>
    </row>
    <row r="174" spans="1:5" x14ac:dyDescent="0.2">
      <c r="A174" s="151" t="s">
        <v>271</v>
      </c>
      <c r="B174" s="257"/>
      <c r="C174" s="257"/>
      <c r="D174" s="257"/>
      <c r="E174" s="257"/>
    </row>
    <row r="175" spans="1:5" x14ac:dyDescent="0.2">
      <c r="A175" s="105"/>
      <c r="B175" s="105"/>
      <c r="C175" s="105"/>
      <c r="D175" s="105"/>
      <c r="E175" s="105"/>
    </row>
    <row r="176" spans="1:5" x14ac:dyDescent="0.2">
      <c r="A176" s="585" t="s">
        <v>272</v>
      </c>
      <c r="B176" s="585"/>
      <c r="C176" s="585"/>
      <c r="D176" s="585"/>
      <c r="E176" s="585"/>
    </row>
    <row r="177" spans="1:5" x14ac:dyDescent="0.2">
      <c r="A177" s="585"/>
      <c r="B177" s="585"/>
      <c r="C177" s="585"/>
      <c r="D177" s="585"/>
      <c r="E177" s="585"/>
    </row>
    <row r="178" spans="1:5" x14ac:dyDescent="0.2">
      <c r="A178" s="155"/>
      <c r="B178" s="261"/>
      <c r="C178" s="261"/>
      <c r="D178" s="261"/>
      <c r="E178" s="261"/>
    </row>
    <row r="179" spans="1:5" x14ac:dyDescent="0.2">
      <c r="A179" s="155" t="s">
        <v>185</v>
      </c>
      <c r="B179" s="262"/>
      <c r="C179" s="262"/>
      <c r="D179" s="262"/>
      <c r="E179" s="262"/>
    </row>
    <row r="180" spans="1:5" x14ac:dyDescent="0.2">
      <c r="A180" s="156" t="s">
        <v>273</v>
      </c>
      <c r="B180" s="254"/>
      <c r="C180" s="254"/>
      <c r="D180" s="254"/>
      <c r="E180" s="254"/>
    </row>
    <row r="181" spans="1:5" x14ac:dyDescent="0.2">
      <c r="A181" s="647" t="s">
        <v>274</v>
      </c>
      <c r="B181" s="647"/>
      <c r="C181" s="647"/>
      <c r="D181" s="647"/>
      <c r="E181" s="647"/>
    </row>
    <row r="182" spans="1:5" x14ac:dyDescent="0.2">
      <c r="A182" s="151" t="s">
        <v>275</v>
      </c>
      <c r="B182" s="257"/>
      <c r="C182" s="257"/>
      <c r="D182" s="257"/>
      <c r="E182" s="257"/>
    </row>
    <row r="183" spans="1:5" x14ac:dyDescent="0.2">
      <c r="A183" s="151" t="s">
        <v>276</v>
      </c>
      <c r="B183" s="257"/>
      <c r="C183" s="257"/>
      <c r="D183" s="257"/>
      <c r="E183" s="257"/>
    </row>
    <row r="184" spans="1:5" x14ac:dyDescent="0.2">
      <c r="A184" s="151" t="s">
        <v>277</v>
      </c>
      <c r="B184" s="257"/>
      <c r="C184" s="257"/>
      <c r="D184" s="257"/>
      <c r="E184" s="257"/>
    </row>
    <row r="185" spans="1:5" x14ac:dyDescent="0.2">
      <c r="A185" s="151" t="s">
        <v>278</v>
      </c>
      <c r="B185" s="257"/>
      <c r="C185" s="257"/>
      <c r="D185" s="257"/>
      <c r="E185" s="257"/>
    </row>
    <row r="186" spans="1:5" x14ac:dyDescent="0.2">
      <c r="A186" s="151" t="s">
        <v>211</v>
      </c>
      <c r="B186" s="257"/>
      <c r="C186" s="257"/>
      <c r="D186" s="257"/>
      <c r="E186" s="257"/>
    </row>
    <row r="187" spans="1:5" x14ac:dyDescent="0.2">
      <c r="A187" s="151" t="s">
        <v>279</v>
      </c>
      <c r="B187" s="257"/>
      <c r="C187" s="257"/>
      <c r="D187" s="257"/>
      <c r="E187" s="257"/>
    </row>
    <row r="188" spans="1:5" x14ac:dyDescent="0.2">
      <c r="A188" s="151" t="s">
        <v>280</v>
      </c>
      <c r="B188" s="263"/>
      <c r="C188" s="257"/>
      <c r="D188" s="257"/>
      <c r="E188" s="263"/>
    </row>
    <row r="189" spans="1:5" x14ac:dyDescent="0.2">
      <c r="A189" s="151" t="s">
        <v>281</v>
      </c>
      <c r="B189" s="257"/>
      <c r="C189" s="257"/>
      <c r="D189" s="257"/>
      <c r="E189" s="257"/>
    </row>
    <row r="190" spans="1:5" x14ac:dyDescent="0.2">
      <c r="A190" s="151" t="s">
        <v>282</v>
      </c>
      <c r="B190" s="257"/>
      <c r="C190" s="257"/>
      <c r="D190" s="257"/>
      <c r="E190" s="257"/>
    </row>
    <row r="191" spans="1:5" x14ac:dyDescent="0.2">
      <c r="A191" s="151" t="s">
        <v>283</v>
      </c>
      <c r="B191" s="257"/>
      <c r="C191" s="257"/>
      <c r="D191" s="257"/>
      <c r="E191" s="257"/>
    </row>
    <row r="192" spans="1:5" x14ac:dyDescent="0.2">
      <c r="A192" s="151" t="s">
        <v>284</v>
      </c>
      <c r="B192" s="257"/>
      <c r="C192" s="257"/>
      <c r="D192" s="257"/>
      <c r="E192" s="257"/>
    </row>
    <row r="193" spans="1:5" x14ac:dyDescent="0.2">
      <c r="A193" s="151" t="s">
        <v>285</v>
      </c>
      <c r="B193" s="257"/>
      <c r="C193" s="257"/>
      <c r="D193" s="257"/>
      <c r="E193" s="257"/>
    </row>
    <row r="194" spans="1:5" x14ac:dyDescent="0.2">
      <c r="A194" s="151" t="s">
        <v>286</v>
      </c>
      <c r="B194" s="257"/>
      <c r="C194" s="257"/>
      <c r="D194" s="257"/>
      <c r="E194" s="257"/>
    </row>
    <row r="195" spans="1:5" x14ac:dyDescent="0.2">
      <c r="A195" s="151" t="s">
        <v>287</v>
      </c>
      <c r="B195" s="257"/>
      <c r="C195" s="257"/>
      <c r="D195" s="257"/>
      <c r="E195" s="257"/>
    </row>
    <row r="196" spans="1:5" x14ac:dyDescent="0.2">
      <c r="A196" s="647" t="s">
        <v>288</v>
      </c>
      <c r="B196" s="647"/>
      <c r="C196" s="647"/>
      <c r="D196" s="647"/>
      <c r="E196" s="647"/>
    </row>
    <row r="197" spans="1:5" x14ac:dyDescent="0.2">
      <c r="A197" s="151" t="s">
        <v>276</v>
      </c>
      <c r="B197" s="257"/>
      <c r="C197" s="257"/>
      <c r="D197" s="257"/>
      <c r="E197" s="257"/>
    </row>
    <row r="198" spans="1:5" x14ac:dyDescent="0.2">
      <c r="A198" s="151" t="s">
        <v>289</v>
      </c>
      <c r="B198" s="257"/>
      <c r="C198" s="257"/>
      <c r="D198" s="257"/>
      <c r="E198" s="257"/>
    </row>
    <row r="199" spans="1:5" x14ac:dyDescent="0.2">
      <c r="A199" s="151" t="s">
        <v>290</v>
      </c>
      <c r="B199" s="257"/>
      <c r="C199" s="257"/>
      <c r="D199" s="257"/>
      <c r="E199" s="257"/>
    </row>
    <row r="200" spans="1:5" x14ac:dyDescent="0.2">
      <c r="A200" s="151" t="s">
        <v>291</v>
      </c>
      <c r="B200" s="257"/>
      <c r="C200" s="257"/>
      <c r="D200" s="257"/>
      <c r="E200" s="257"/>
    </row>
    <row r="201" spans="1:5" x14ac:dyDescent="0.2">
      <c r="A201" s="151" t="s">
        <v>211</v>
      </c>
      <c r="B201" s="257"/>
      <c r="C201" s="257"/>
      <c r="D201" s="257"/>
      <c r="E201" s="257"/>
    </row>
    <row r="202" spans="1:5" x14ac:dyDescent="0.2">
      <c r="A202" s="105"/>
      <c r="B202" s="105"/>
      <c r="C202" s="105"/>
      <c r="D202" s="105"/>
      <c r="E202" s="105"/>
    </row>
    <row r="203" spans="1:5" x14ac:dyDescent="0.2">
      <c r="A203" s="585" t="s">
        <v>272</v>
      </c>
      <c r="B203" s="585"/>
      <c r="C203" s="585"/>
      <c r="D203" s="585"/>
      <c r="E203" s="585"/>
    </row>
    <row r="204" spans="1:5" x14ac:dyDescent="0.2">
      <c r="A204" s="585"/>
      <c r="B204" s="585"/>
      <c r="C204" s="585"/>
      <c r="D204" s="585"/>
      <c r="E204" s="585"/>
    </row>
    <row r="205" spans="1:5" x14ac:dyDescent="0.2">
      <c r="A205" s="155"/>
      <c r="B205" s="264"/>
      <c r="C205" s="264"/>
      <c r="D205" s="264"/>
      <c r="E205" s="264"/>
    </row>
    <row r="206" spans="1:5" x14ac:dyDescent="0.2">
      <c r="A206" s="155" t="s">
        <v>185</v>
      </c>
      <c r="B206" s="264"/>
      <c r="C206" s="264"/>
      <c r="D206" s="264"/>
      <c r="E206" s="264"/>
    </row>
    <row r="207" spans="1:5" x14ac:dyDescent="0.2">
      <c r="A207" s="151" t="s">
        <v>273</v>
      </c>
      <c r="B207" s="264"/>
      <c r="C207" s="264"/>
      <c r="D207" s="264"/>
      <c r="E207" s="264"/>
    </row>
    <row r="208" spans="1:5" x14ac:dyDescent="0.2">
      <c r="A208" s="647" t="s">
        <v>274</v>
      </c>
      <c r="B208" s="647"/>
      <c r="C208" s="647"/>
      <c r="D208" s="647"/>
      <c r="E208" s="647"/>
    </row>
    <row r="209" spans="1:5" x14ac:dyDescent="0.2">
      <c r="A209" s="151" t="s">
        <v>275</v>
      </c>
      <c r="B209" s="257"/>
      <c r="C209" s="257"/>
      <c r="D209" s="257"/>
      <c r="E209" s="257"/>
    </row>
    <row r="210" spans="1:5" x14ac:dyDescent="0.2">
      <c r="A210" s="151" t="s">
        <v>276</v>
      </c>
      <c r="B210" s="257"/>
      <c r="C210" s="257"/>
      <c r="D210" s="257"/>
      <c r="E210" s="257"/>
    </row>
    <row r="211" spans="1:5" x14ac:dyDescent="0.2">
      <c r="A211" s="151" t="s">
        <v>277</v>
      </c>
      <c r="B211" s="257"/>
      <c r="C211" s="257"/>
      <c r="D211" s="257"/>
      <c r="E211" s="257"/>
    </row>
    <row r="212" spans="1:5" x14ac:dyDescent="0.2">
      <c r="A212" s="151" t="s">
        <v>278</v>
      </c>
      <c r="B212" s="257"/>
      <c r="C212" s="257"/>
      <c r="D212" s="257"/>
      <c r="E212" s="257"/>
    </row>
    <row r="213" spans="1:5" x14ac:dyDescent="0.2">
      <c r="A213" s="151" t="s">
        <v>211</v>
      </c>
      <c r="B213" s="257"/>
      <c r="C213" s="257"/>
      <c r="D213" s="257"/>
      <c r="E213" s="257"/>
    </row>
    <row r="214" spans="1:5" x14ac:dyDescent="0.2">
      <c r="A214" s="151" t="s">
        <v>279</v>
      </c>
      <c r="B214" s="257"/>
      <c r="C214" s="257"/>
      <c r="D214" s="257"/>
      <c r="E214" s="257"/>
    </row>
    <row r="215" spans="1:5" x14ac:dyDescent="0.2">
      <c r="A215" s="151" t="s">
        <v>280</v>
      </c>
      <c r="B215" s="263"/>
      <c r="C215" s="263"/>
      <c r="D215" s="263"/>
      <c r="E215" s="263"/>
    </row>
    <row r="216" spans="1:5" x14ac:dyDescent="0.2">
      <c r="A216" s="151" t="s">
        <v>281</v>
      </c>
      <c r="B216" s="257"/>
      <c r="C216" s="257"/>
      <c r="D216" s="257"/>
      <c r="E216" s="257"/>
    </row>
    <row r="217" spans="1:5" x14ac:dyDescent="0.2">
      <c r="A217" s="151" t="s">
        <v>282</v>
      </c>
      <c r="B217" s="257"/>
      <c r="C217" s="257"/>
      <c r="D217" s="257"/>
      <c r="E217" s="257"/>
    </row>
    <row r="218" spans="1:5" x14ac:dyDescent="0.2">
      <c r="A218" s="151" t="s">
        <v>283</v>
      </c>
      <c r="B218" s="257"/>
      <c r="C218" s="257"/>
      <c r="D218" s="257"/>
      <c r="E218" s="257"/>
    </row>
    <row r="219" spans="1:5" x14ac:dyDescent="0.2">
      <c r="A219" s="151" t="s">
        <v>284</v>
      </c>
      <c r="B219" s="257"/>
      <c r="C219" s="257"/>
      <c r="D219" s="257"/>
      <c r="E219" s="257"/>
    </row>
    <row r="220" spans="1:5" x14ac:dyDescent="0.2">
      <c r="A220" s="151" t="s">
        <v>285</v>
      </c>
      <c r="B220" s="257"/>
      <c r="C220" s="257"/>
      <c r="D220" s="257"/>
      <c r="E220" s="257"/>
    </row>
    <row r="221" spans="1:5" x14ac:dyDescent="0.2">
      <c r="A221" s="151" t="s">
        <v>286</v>
      </c>
      <c r="B221" s="257"/>
      <c r="C221" s="257"/>
      <c r="D221" s="257"/>
      <c r="E221" s="257"/>
    </row>
    <row r="222" spans="1:5" x14ac:dyDescent="0.2">
      <c r="A222" s="151" t="s">
        <v>287</v>
      </c>
      <c r="B222" s="257"/>
      <c r="C222" s="257"/>
      <c r="D222" s="257"/>
      <c r="E222" s="257"/>
    </row>
    <row r="223" spans="1:5" x14ac:dyDescent="0.2">
      <c r="A223" s="647" t="s">
        <v>288</v>
      </c>
      <c r="B223" s="647"/>
      <c r="C223" s="647"/>
      <c r="D223" s="647"/>
      <c r="E223" s="647"/>
    </row>
    <row r="224" spans="1:5" x14ac:dyDescent="0.2">
      <c r="A224" s="151" t="s">
        <v>276</v>
      </c>
      <c r="B224" s="257"/>
      <c r="C224" s="257"/>
      <c r="D224" s="257"/>
      <c r="E224" s="257"/>
    </row>
    <row r="225" spans="1:5" x14ac:dyDescent="0.2">
      <c r="A225" s="151" t="s">
        <v>289</v>
      </c>
      <c r="B225" s="257"/>
      <c r="C225" s="257"/>
      <c r="D225" s="257"/>
      <c r="E225" s="257"/>
    </row>
    <row r="226" spans="1:5" x14ac:dyDescent="0.2">
      <c r="A226" s="151" t="s">
        <v>290</v>
      </c>
      <c r="B226" s="257"/>
      <c r="C226" s="257"/>
      <c r="D226" s="257"/>
      <c r="E226" s="257"/>
    </row>
    <row r="227" spans="1:5" x14ac:dyDescent="0.2">
      <c r="A227" s="151" t="s">
        <v>291</v>
      </c>
      <c r="B227" s="257"/>
      <c r="C227" s="257"/>
      <c r="D227" s="257"/>
      <c r="E227" s="257"/>
    </row>
    <row r="228" spans="1:5" x14ac:dyDescent="0.2">
      <c r="A228" s="151" t="s">
        <v>211</v>
      </c>
      <c r="B228" s="257"/>
      <c r="C228" s="257"/>
      <c r="D228" s="257"/>
      <c r="E228" s="257"/>
    </row>
    <row r="229" spans="1:5" x14ac:dyDescent="0.2">
      <c r="A229" s="105"/>
      <c r="B229" s="105"/>
      <c r="C229" s="105"/>
      <c r="D229" s="105"/>
      <c r="E229" s="105"/>
    </row>
    <row r="230" spans="1:5" x14ac:dyDescent="0.2">
      <c r="A230" s="585" t="s">
        <v>272</v>
      </c>
      <c r="B230" s="585"/>
      <c r="C230" s="585"/>
      <c r="D230" s="585"/>
      <c r="E230" s="585"/>
    </row>
    <row r="231" spans="1:5" x14ac:dyDescent="0.2">
      <c r="A231" s="585"/>
      <c r="B231" s="585"/>
      <c r="C231" s="585"/>
      <c r="D231" s="585"/>
      <c r="E231" s="585"/>
    </row>
    <row r="232" spans="1:5" x14ac:dyDescent="0.2">
      <c r="A232" s="155" t="s">
        <v>292</v>
      </c>
      <c r="B232" s="264"/>
      <c r="C232" s="264"/>
      <c r="D232" s="264"/>
      <c r="E232" s="264"/>
    </row>
    <row r="233" spans="1:5" x14ac:dyDescent="0.2">
      <c r="A233" s="155" t="s">
        <v>185</v>
      </c>
      <c r="B233" s="264"/>
      <c r="C233" s="264"/>
      <c r="D233" s="264"/>
      <c r="E233" s="264"/>
    </row>
    <row r="234" spans="1:5" x14ac:dyDescent="0.2">
      <c r="A234" s="151" t="s">
        <v>273</v>
      </c>
      <c r="B234" s="264"/>
      <c r="C234" s="264"/>
      <c r="D234" s="264"/>
      <c r="E234" s="264"/>
    </row>
    <row r="235" spans="1:5" x14ac:dyDescent="0.2">
      <c r="A235" s="647" t="s">
        <v>274</v>
      </c>
      <c r="B235" s="647"/>
      <c r="C235" s="647"/>
      <c r="D235" s="647"/>
      <c r="E235" s="647"/>
    </row>
    <row r="236" spans="1:5" x14ac:dyDescent="0.2">
      <c r="A236" s="151" t="s">
        <v>275</v>
      </c>
      <c r="B236" s="257"/>
      <c r="C236" s="257"/>
      <c r="D236" s="257"/>
      <c r="E236" s="257"/>
    </row>
    <row r="237" spans="1:5" x14ac:dyDescent="0.2">
      <c r="A237" s="151" t="s">
        <v>276</v>
      </c>
      <c r="B237" s="257"/>
      <c r="C237" s="257"/>
      <c r="D237" s="257"/>
      <c r="E237" s="257"/>
    </row>
    <row r="238" spans="1:5" x14ac:dyDescent="0.2">
      <c r="A238" s="151" t="s">
        <v>277</v>
      </c>
      <c r="B238" s="257"/>
      <c r="C238" s="257"/>
      <c r="D238" s="257"/>
      <c r="E238" s="257"/>
    </row>
    <row r="239" spans="1:5" x14ac:dyDescent="0.2">
      <c r="A239" s="151" t="s">
        <v>278</v>
      </c>
      <c r="B239" s="257"/>
      <c r="C239" s="257"/>
      <c r="D239" s="257"/>
      <c r="E239" s="257"/>
    </row>
    <row r="240" spans="1:5" x14ac:dyDescent="0.2">
      <c r="A240" s="151" t="s">
        <v>211</v>
      </c>
      <c r="B240" s="257"/>
      <c r="C240" s="257"/>
      <c r="D240" s="257"/>
      <c r="E240" s="257"/>
    </row>
    <row r="241" spans="1:5" x14ac:dyDescent="0.2">
      <c r="A241" s="151" t="s">
        <v>279</v>
      </c>
      <c r="B241" s="257"/>
      <c r="C241" s="257"/>
      <c r="D241" s="257"/>
      <c r="E241" s="257"/>
    </row>
    <row r="242" spans="1:5" x14ac:dyDescent="0.2">
      <c r="A242" s="151" t="s">
        <v>280</v>
      </c>
      <c r="B242" s="263"/>
      <c r="C242" s="257"/>
      <c r="D242" s="257"/>
      <c r="E242" s="257"/>
    </row>
    <row r="243" spans="1:5" x14ac:dyDescent="0.2">
      <c r="A243" s="151" t="s">
        <v>281</v>
      </c>
      <c r="B243" s="257"/>
      <c r="C243" s="257"/>
      <c r="D243" s="257"/>
      <c r="E243" s="257"/>
    </row>
    <row r="244" spans="1:5" x14ac:dyDescent="0.2">
      <c r="A244" s="151" t="s">
        <v>282</v>
      </c>
      <c r="B244" s="257"/>
      <c r="C244" s="257"/>
      <c r="D244" s="257"/>
      <c r="E244" s="257"/>
    </row>
    <row r="245" spans="1:5" x14ac:dyDescent="0.2">
      <c r="A245" s="151" t="s">
        <v>283</v>
      </c>
      <c r="B245" s="257"/>
      <c r="C245" s="257"/>
      <c r="D245" s="257"/>
      <c r="E245" s="257"/>
    </row>
    <row r="246" spans="1:5" x14ac:dyDescent="0.2">
      <c r="A246" s="151" t="s">
        <v>284</v>
      </c>
      <c r="B246" s="257"/>
      <c r="C246" s="257"/>
      <c r="D246" s="257"/>
      <c r="E246" s="257"/>
    </row>
    <row r="247" spans="1:5" x14ac:dyDescent="0.2">
      <c r="A247" s="151" t="s">
        <v>285</v>
      </c>
      <c r="B247" s="257"/>
      <c r="C247" s="257"/>
      <c r="D247" s="257"/>
      <c r="E247" s="257"/>
    </row>
    <row r="248" spans="1:5" x14ac:dyDescent="0.2">
      <c r="A248" s="151" t="s">
        <v>286</v>
      </c>
      <c r="B248" s="257"/>
      <c r="C248" s="257"/>
      <c r="D248" s="257"/>
      <c r="E248" s="257"/>
    </row>
    <row r="249" spans="1:5" x14ac:dyDescent="0.2">
      <c r="A249" s="151" t="s">
        <v>287</v>
      </c>
      <c r="B249" s="257"/>
      <c r="C249" s="257"/>
      <c r="D249" s="257"/>
      <c r="E249" s="257"/>
    </row>
    <row r="250" spans="1:5" x14ac:dyDescent="0.2">
      <c r="A250" s="647" t="s">
        <v>288</v>
      </c>
      <c r="B250" s="647"/>
      <c r="C250" s="647"/>
      <c r="D250" s="647"/>
      <c r="E250" s="647"/>
    </row>
    <row r="251" spans="1:5" x14ac:dyDescent="0.2">
      <c r="A251" s="151" t="s">
        <v>276</v>
      </c>
      <c r="B251" s="257"/>
      <c r="C251" s="257"/>
      <c r="D251" s="257"/>
      <c r="E251" s="257"/>
    </row>
    <row r="252" spans="1:5" x14ac:dyDescent="0.2">
      <c r="A252" s="151" t="s">
        <v>289</v>
      </c>
      <c r="B252" s="257"/>
      <c r="C252" s="257"/>
      <c r="D252" s="257"/>
      <c r="E252" s="257"/>
    </row>
    <row r="253" spans="1:5" x14ac:dyDescent="0.2">
      <c r="A253" s="151" t="s">
        <v>290</v>
      </c>
      <c r="B253" s="257"/>
      <c r="C253" s="257"/>
      <c r="D253" s="257"/>
      <c r="E253" s="257"/>
    </row>
    <row r="254" spans="1:5" x14ac:dyDescent="0.2">
      <c r="A254" s="151" t="s">
        <v>291</v>
      </c>
      <c r="B254" s="257"/>
      <c r="C254" s="257"/>
      <c r="D254" s="257"/>
      <c r="E254" s="257"/>
    </row>
    <row r="255" spans="1:5" x14ac:dyDescent="0.2">
      <c r="A255" s="151" t="s">
        <v>211</v>
      </c>
      <c r="B255" s="257"/>
      <c r="C255" s="257"/>
      <c r="D255" s="257"/>
      <c r="E255" s="257"/>
    </row>
    <row r="256" spans="1:5" x14ac:dyDescent="0.2">
      <c r="A256" s="105"/>
      <c r="B256" s="105"/>
      <c r="C256" s="105"/>
      <c r="D256" s="105"/>
      <c r="E256" s="105"/>
    </row>
    <row r="257" spans="1:5" x14ac:dyDescent="0.2">
      <c r="A257" s="585" t="s">
        <v>272</v>
      </c>
      <c r="B257" s="585"/>
      <c r="C257" s="585"/>
      <c r="D257" s="585"/>
      <c r="E257" s="585"/>
    </row>
    <row r="258" spans="1:5" x14ac:dyDescent="0.2">
      <c r="A258" s="585"/>
      <c r="B258" s="585"/>
      <c r="C258" s="585"/>
      <c r="D258" s="585"/>
      <c r="E258" s="585"/>
    </row>
    <row r="259" spans="1:5" x14ac:dyDescent="0.2">
      <c r="A259" s="155" t="s">
        <v>292</v>
      </c>
      <c r="B259" s="264"/>
      <c r="C259" s="264"/>
      <c r="D259" s="264"/>
      <c r="E259" s="264"/>
    </row>
    <row r="260" spans="1:5" x14ac:dyDescent="0.2">
      <c r="A260" s="155" t="s">
        <v>185</v>
      </c>
      <c r="B260" s="264"/>
      <c r="C260" s="264"/>
      <c r="D260" s="264"/>
      <c r="E260" s="264"/>
    </row>
    <row r="261" spans="1:5" x14ac:dyDescent="0.2">
      <c r="A261" s="151" t="s">
        <v>273</v>
      </c>
      <c r="B261" s="264"/>
      <c r="C261" s="264"/>
      <c r="D261" s="264"/>
      <c r="E261" s="264"/>
    </row>
    <row r="262" spans="1:5" x14ac:dyDescent="0.2">
      <c r="A262" s="647" t="s">
        <v>274</v>
      </c>
      <c r="B262" s="647"/>
      <c r="C262" s="647"/>
      <c r="D262" s="647"/>
      <c r="E262" s="647"/>
    </row>
    <row r="263" spans="1:5" x14ac:dyDescent="0.2">
      <c r="A263" s="151" t="s">
        <v>275</v>
      </c>
      <c r="B263" s="257"/>
      <c r="C263" s="257"/>
      <c r="D263" s="257"/>
      <c r="E263" s="257"/>
    </row>
    <row r="264" spans="1:5" x14ac:dyDescent="0.2">
      <c r="A264" s="151" t="s">
        <v>276</v>
      </c>
      <c r="B264" s="257"/>
      <c r="C264" s="257"/>
      <c r="D264" s="257"/>
      <c r="E264" s="257"/>
    </row>
    <row r="265" spans="1:5" x14ac:dyDescent="0.2">
      <c r="A265" s="151" t="s">
        <v>277</v>
      </c>
      <c r="B265" s="257"/>
      <c r="C265" s="257"/>
      <c r="D265" s="257"/>
      <c r="E265" s="257"/>
    </row>
    <row r="266" spans="1:5" x14ac:dyDescent="0.2">
      <c r="A266" s="151" t="s">
        <v>278</v>
      </c>
      <c r="B266" s="257"/>
      <c r="C266" s="257"/>
      <c r="D266" s="257"/>
      <c r="E266" s="257"/>
    </row>
    <row r="267" spans="1:5" x14ac:dyDescent="0.2">
      <c r="A267" s="151" t="s">
        <v>211</v>
      </c>
      <c r="B267" s="257"/>
      <c r="C267" s="257"/>
      <c r="D267" s="257"/>
      <c r="E267" s="257"/>
    </row>
    <row r="268" spans="1:5" x14ac:dyDescent="0.2">
      <c r="A268" s="151" t="s">
        <v>279</v>
      </c>
      <c r="B268" s="257"/>
      <c r="C268" s="257"/>
      <c r="D268" s="257"/>
      <c r="E268" s="257"/>
    </row>
    <row r="269" spans="1:5" x14ac:dyDescent="0.2">
      <c r="A269" s="151" t="s">
        <v>280</v>
      </c>
      <c r="B269" s="257"/>
      <c r="C269" s="257"/>
      <c r="D269" s="257"/>
      <c r="E269" s="257"/>
    </row>
    <row r="270" spans="1:5" x14ac:dyDescent="0.2">
      <c r="A270" s="151" t="s">
        <v>281</v>
      </c>
      <c r="B270" s="257"/>
      <c r="C270" s="257"/>
      <c r="D270" s="257"/>
      <c r="E270" s="257"/>
    </row>
    <row r="271" spans="1:5" x14ac:dyDescent="0.2">
      <c r="A271" s="151" t="s">
        <v>282</v>
      </c>
      <c r="B271" s="257"/>
      <c r="C271" s="257"/>
      <c r="D271" s="257"/>
      <c r="E271" s="257"/>
    </row>
    <row r="272" spans="1:5" x14ac:dyDescent="0.2">
      <c r="A272" s="151" t="s">
        <v>283</v>
      </c>
      <c r="B272" s="257"/>
      <c r="C272" s="257"/>
      <c r="D272" s="257"/>
      <c r="E272" s="257"/>
    </row>
    <row r="273" spans="1:5" x14ac:dyDescent="0.2">
      <c r="A273" s="151" t="s">
        <v>284</v>
      </c>
      <c r="B273" s="257"/>
      <c r="C273" s="257"/>
      <c r="D273" s="257"/>
      <c r="E273" s="257"/>
    </row>
    <row r="274" spans="1:5" x14ac:dyDescent="0.2">
      <c r="A274" s="151" t="s">
        <v>285</v>
      </c>
      <c r="B274" s="257"/>
      <c r="C274" s="257"/>
      <c r="D274" s="257"/>
      <c r="E274" s="257"/>
    </row>
    <row r="275" spans="1:5" x14ac:dyDescent="0.2">
      <c r="A275" s="151" t="s">
        <v>286</v>
      </c>
      <c r="B275" s="257"/>
      <c r="C275" s="257"/>
      <c r="D275" s="257"/>
      <c r="E275" s="257"/>
    </row>
    <row r="276" spans="1:5" x14ac:dyDescent="0.2">
      <c r="A276" s="151" t="s">
        <v>287</v>
      </c>
      <c r="B276" s="257"/>
      <c r="C276" s="257"/>
      <c r="D276" s="257"/>
      <c r="E276" s="257"/>
    </row>
    <row r="277" spans="1:5" x14ac:dyDescent="0.2">
      <c r="A277" s="647" t="s">
        <v>288</v>
      </c>
      <c r="B277" s="647"/>
      <c r="C277" s="647"/>
      <c r="D277" s="647"/>
      <c r="E277" s="647"/>
    </row>
    <row r="278" spans="1:5" x14ac:dyDescent="0.2">
      <c r="A278" s="151" t="s">
        <v>276</v>
      </c>
      <c r="B278" s="257"/>
      <c r="C278" s="257"/>
      <c r="D278" s="257"/>
      <c r="E278" s="257"/>
    </row>
    <row r="279" spans="1:5" x14ac:dyDescent="0.2">
      <c r="A279" s="151" t="s">
        <v>289</v>
      </c>
      <c r="B279" s="257"/>
      <c r="C279" s="257"/>
      <c r="D279" s="257"/>
      <c r="E279" s="257"/>
    </row>
    <row r="280" spans="1:5" x14ac:dyDescent="0.2">
      <c r="A280" s="151" t="s">
        <v>290</v>
      </c>
      <c r="B280" s="257"/>
      <c r="C280" s="257"/>
      <c r="D280" s="257"/>
      <c r="E280" s="257"/>
    </row>
    <row r="281" spans="1:5" x14ac:dyDescent="0.2">
      <c r="A281" s="151" t="s">
        <v>291</v>
      </c>
      <c r="B281" s="257"/>
      <c r="C281" s="257"/>
      <c r="D281" s="257"/>
      <c r="E281" s="257"/>
    </row>
    <row r="282" spans="1:5" x14ac:dyDescent="0.2">
      <c r="A282" s="151" t="s">
        <v>211</v>
      </c>
      <c r="B282" s="257"/>
      <c r="C282" s="257"/>
      <c r="D282" s="257"/>
      <c r="E282" s="257"/>
    </row>
    <row r="283" spans="1:5" x14ac:dyDescent="0.2">
      <c r="A283" s="105"/>
      <c r="B283" s="105"/>
      <c r="C283" s="105"/>
      <c r="D283" s="105"/>
      <c r="E283" s="105"/>
    </row>
    <row r="284" spans="1:5" x14ac:dyDescent="0.2">
      <c r="A284" s="105"/>
      <c r="B284" s="105"/>
      <c r="C284" s="105"/>
      <c r="D284" s="105"/>
      <c r="E284" s="105"/>
    </row>
    <row r="285" spans="1:5" x14ac:dyDescent="0.2">
      <c r="A285" s="105"/>
    </row>
    <row r="287" spans="1:5" x14ac:dyDescent="0.2">
      <c r="B287" s="105"/>
    </row>
    <row r="288" spans="1:5" x14ac:dyDescent="0.2">
      <c r="B288" s="105"/>
    </row>
    <row r="289" spans="2:2" x14ac:dyDescent="0.2">
      <c r="B289" s="105"/>
    </row>
    <row r="290" spans="2:2" x14ac:dyDescent="0.2">
      <c r="B290" s="111"/>
    </row>
    <row r="352" spans="1:1" x14ac:dyDescent="0.2">
      <c r="A352" s="108">
        <v>1</v>
      </c>
    </row>
    <row r="353" spans="1:1" x14ac:dyDescent="0.2">
      <c r="A353" s="108">
        <v>2</v>
      </c>
    </row>
    <row r="354" spans="1:1" x14ac:dyDescent="0.2">
      <c r="A354" s="108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277:E277"/>
    <mergeCell ref="A223:E223"/>
    <mergeCell ref="A230:E231"/>
    <mergeCell ref="A235:E235"/>
    <mergeCell ref="A250:E250"/>
    <mergeCell ref="A257:E258"/>
    <mergeCell ref="A262:E262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108" customWidth="1"/>
    <col min="2" max="2" width="52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317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318</v>
      </c>
      <c r="B2" s="649" t="s">
        <v>319</v>
      </c>
      <c r="C2" s="650" t="s">
        <v>320</v>
      </c>
      <c r="D2" s="650"/>
      <c r="E2" s="649" t="s">
        <v>321</v>
      </c>
    </row>
    <row r="3" spans="1:5" s="265" customFormat="1" ht="27" customHeight="1" x14ac:dyDescent="0.2">
      <c r="A3" s="649"/>
      <c r="B3" s="649"/>
      <c r="C3" s="266" t="s">
        <v>322</v>
      </c>
      <c r="D3" s="266" t="s">
        <v>323</v>
      </c>
      <c r="E3" s="649"/>
    </row>
    <row r="4" spans="1:5" s="269" customFormat="1" ht="12.75" customHeight="1" x14ac:dyDescent="0.2">
      <c r="A4" s="267" t="s">
        <v>328</v>
      </c>
      <c r="B4" s="268" t="s">
        <v>329</v>
      </c>
      <c r="C4" s="243">
        <v>1</v>
      </c>
      <c r="D4" s="243">
        <v>0.1</v>
      </c>
      <c r="E4" s="267" t="s">
        <v>327</v>
      </c>
    </row>
    <row r="5" spans="1:5" s="269" customFormat="1" ht="12.75" customHeight="1" x14ac:dyDescent="0.2">
      <c r="A5" s="272" t="s">
        <v>330</v>
      </c>
      <c r="B5" s="271" t="s">
        <v>331</v>
      </c>
      <c r="C5" s="272">
        <v>1</v>
      </c>
      <c r="D5" s="272">
        <v>0.1</v>
      </c>
      <c r="E5" s="267" t="s">
        <v>332</v>
      </c>
    </row>
    <row r="6" spans="1:5" s="275" customFormat="1" ht="12.75" hidden="1" customHeight="1" x14ac:dyDescent="0.2">
      <c r="A6" s="272" t="s">
        <v>340</v>
      </c>
      <c r="B6" s="274" t="s">
        <v>341</v>
      </c>
      <c r="C6" s="273">
        <v>1</v>
      </c>
      <c r="D6" s="273">
        <v>0.1</v>
      </c>
      <c r="E6" s="267"/>
    </row>
    <row r="7" spans="1:5" s="275" customFormat="1" ht="12.75" hidden="1" customHeight="1" x14ac:dyDescent="0.2">
      <c r="A7" s="272" t="s">
        <v>342</v>
      </c>
      <c r="B7" s="274" t="s">
        <v>343</v>
      </c>
      <c r="C7" s="273">
        <v>1</v>
      </c>
      <c r="D7" s="273">
        <v>0.1</v>
      </c>
      <c r="E7" s="267"/>
    </row>
    <row r="8" spans="1:5" s="275" customFormat="1" ht="12.75" hidden="1" customHeight="1" x14ac:dyDescent="0.2">
      <c r="A8" s="272" t="s">
        <v>344</v>
      </c>
      <c r="B8" s="274" t="s">
        <v>345</v>
      </c>
      <c r="C8" s="273">
        <v>1</v>
      </c>
      <c r="D8" s="273">
        <v>0.1</v>
      </c>
      <c r="E8" s="267"/>
    </row>
    <row r="9" spans="1:5" s="275" customFormat="1" ht="12.75" hidden="1" customHeight="1" x14ac:dyDescent="0.2">
      <c r="A9" s="273" t="s">
        <v>346</v>
      </c>
      <c r="B9" s="274" t="s">
        <v>347</v>
      </c>
      <c r="C9" s="273">
        <v>1</v>
      </c>
      <c r="D9" s="273">
        <v>0.1</v>
      </c>
      <c r="E9" s="267"/>
    </row>
    <row r="10" spans="1:5" s="275" customFormat="1" ht="12.75" hidden="1" customHeight="1" x14ac:dyDescent="0.2">
      <c r="A10" s="272" t="s">
        <v>348</v>
      </c>
      <c r="B10" s="274" t="s">
        <v>349</v>
      </c>
      <c r="C10" s="273">
        <v>1</v>
      </c>
      <c r="D10" s="273">
        <v>0.1</v>
      </c>
      <c r="E10" s="267"/>
    </row>
    <row r="11" spans="1:5" s="275" customFormat="1" ht="12.75" hidden="1" customHeight="1" x14ac:dyDescent="0.2">
      <c r="A11" s="272" t="s">
        <v>350</v>
      </c>
      <c r="B11" s="274" t="s">
        <v>351</v>
      </c>
      <c r="C11" s="273">
        <v>1</v>
      </c>
      <c r="D11" s="273">
        <v>0.1</v>
      </c>
      <c r="E11" s="267"/>
    </row>
    <row r="12" spans="1:5" s="275" customFormat="1" ht="12.75" hidden="1" customHeight="1" x14ac:dyDescent="0.2">
      <c r="A12" s="273" t="s">
        <v>352</v>
      </c>
      <c r="B12" s="274" t="s">
        <v>353</v>
      </c>
      <c r="C12" s="273">
        <v>1</v>
      </c>
      <c r="D12" s="273">
        <v>0.1</v>
      </c>
      <c r="E12" s="267"/>
    </row>
    <row r="13" spans="1:5" s="275" customFormat="1" ht="12.75" hidden="1" customHeight="1" x14ac:dyDescent="0.2">
      <c r="A13" s="272" t="s">
        <v>354</v>
      </c>
      <c r="B13" s="274" t="s">
        <v>355</v>
      </c>
      <c r="C13" s="273">
        <v>1</v>
      </c>
      <c r="D13" s="273">
        <v>0.1</v>
      </c>
      <c r="E13" s="267"/>
    </row>
    <row r="14" spans="1:5" s="275" customFormat="1" ht="30.75" hidden="1" customHeight="1" x14ac:dyDescent="0.2">
      <c r="A14" s="272" t="s">
        <v>356</v>
      </c>
      <c r="B14" s="274" t="s">
        <v>357</v>
      </c>
      <c r="C14" s="273">
        <v>1</v>
      </c>
      <c r="D14" s="273">
        <v>0.1</v>
      </c>
      <c r="E14" s="267"/>
    </row>
    <row r="15" spans="1:5" s="275" customFormat="1" ht="12.75" customHeight="1" x14ac:dyDescent="0.2">
      <c r="A15" s="273" t="s">
        <v>358</v>
      </c>
      <c r="B15" s="274" t="s">
        <v>369</v>
      </c>
      <c r="C15" s="272">
        <v>1</v>
      </c>
      <c r="D15" s="272">
        <v>0.1</v>
      </c>
      <c r="E15" s="267" t="s">
        <v>332</v>
      </c>
    </row>
    <row r="16" spans="1:5" s="275" customFormat="1" ht="12.75" customHeight="1" x14ac:dyDescent="0.2">
      <c r="A16" s="270" t="s">
        <v>363</v>
      </c>
      <c r="B16" s="274" t="s">
        <v>364</v>
      </c>
      <c r="C16" s="273">
        <v>1</v>
      </c>
      <c r="D16" s="273">
        <v>0.1</v>
      </c>
      <c r="E16" s="267" t="s">
        <v>332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76" t="s">
        <v>346</v>
      </c>
      <c r="B20" s="276" t="s">
        <v>347</v>
      </c>
      <c r="C20" s="276">
        <v>1</v>
      </c>
      <c r="D20" s="276">
        <v>0.1</v>
      </c>
      <c r="E20" s="277" t="s">
        <v>332</v>
      </c>
    </row>
    <row r="21" spans="1:5" ht="15" customHeight="1" x14ac:dyDescent="0.2">
      <c r="A21" s="267" t="s">
        <v>335</v>
      </c>
      <c r="B21" s="276" t="s">
        <v>336</v>
      </c>
      <c r="C21" s="276">
        <v>1</v>
      </c>
      <c r="D21" s="276">
        <v>0.1</v>
      </c>
      <c r="E21" s="277" t="s">
        <v>332</v>
      </c>
    </row>
    <row r="22" spans="1:5" ht="15" customHeight="1" x14ac:dyDescent="0.2">
      <c r="A22" s="267" t="s">
        <v>338</v>
      </c>
      <c r="B22" s="276" t="s">
        <v>339</v>
      </c>
      <c r="C22" s="276">
        <v>1</v>
      </c>
      <c r="D22" s="276">
        <v>0.1</v>
      </c>
      <c r="E22" s="277" t="s">
        <v>332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108">
        <v>1</v>
      </c>
    </row>
    <row r="72" spans="1:1" ht="6.75" customHeight="1" x14ac:dyDescent="0.2">
      <c r="A72" s="108">
        <v>2</v>
      </c>
    </row>
    <row r="73" spans="1:1" ht="6.75" customHeight="1" x14ac:dyDescent="0.2">
      <c r="A73" s="108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108" customWidth="1"/>
    <col min="6" max="6" width="1.42578125" style="108" customWidth="1"/>
    <col min="7" max="8" width="2.140625" style="108" customWidth="1"/>
    <col min="9" max="9" width="7" style="108" customWidth="1"/>
    <col min="10" max="10" width="8.7109375" style="108" customWidth="1"/>
    <col min="11" max="12" width="1.140625" style="108" customWidth="1"/>
    <col min="13" max="24" width="4.42578125" style="108" customWidth="1"/>
    <col min="25" max="16384" width="9.140625" style="108"/>
  </cols>
  <sheetData>
    <row r="1" spans="1:24" s="115" customFormat="1" ht="24.75" customHeight="1" x14ac:dyDescent="0.2">
      <c r="A1" s="657" t="s">
        <v>311</v>
      </c>
      <c r="B1" s="658"/>
      <c r="C1" s="658"/>
      <c r="D1" s="658"/>
      <c r="E1" s="658"/>
      <c r="F1" s="658"/>
      <c r="G1" s="658"/>
      <c r="H1" s="658"/>
      <c r="I1" s="658"/>
      <c r="J1" s="658"/>
      <c r="K1" s="658"/>
      <c r="L1" s="658"/>
      <c r="M1" s="658"/>
      <c r="N1" s="658"/>
      <c r="O1" s="658"/>
      <c r="P1" s="658"/>
      <c r="Q1" s="658"/>
      <c r="R1" s="658"/>
      <c r="S1" s="658"/>
      <c r="T1" s="658"/>
      <c r="U1" s="658"/>
      <c r="V1" s="658"/>
      <c r="W1" s="658"/>
      <c r="X1" s="659"/>
    </row>
    <row r="2" spans="1:24" s="64" customFormat="1" ht="12.75" customHeight="1" x14ac:dyDescent="0.2">
      <c r="A2" s="660" t="s">
        <v>312</v>
      </c>
      <c r="B2" s="661"/>
      <c r="C2" s="661"/>
      <c r="D2" s="661"/>
      <c r="E2" s="661"/>
      <c r="F2" s="661"/>
      <c r="G2" s="661" t="s">
        <v>313</v>
      </c>
      <c r="H2" s="661"/>
      <c r="I2" s="661" t="s">
        <v>314</v>
      </c>
      <c r="J2" s="661" t="s">
        <v>444</v>
      </c>
      <c r="K2" s="661" t="s">
        <v>315</v>
      </c>
      <c r="L2" s="661"/>
      <c r="M2" s="662" t="s">
        <v>445</v>
      </c>
      <c r="N2" s="662"/>
      <c r="O2" s="662"/>
      <c r="P2" s="663" t="s">
        <v>446</v>
      </c>
      <c r="Q2" s="664"/>
      <c r="R2" s="664"/>
      <c r="S2" s="663" t="s">
        <v>447</v>
      </c>
      <c r="T2" s="664"/>
      <c r="U2" s="664"/>
      <c r="V2" s="661" t="s">
        <v>316</v>
      </c>
      <c r="W2" s="661"/>
      <c r="X2" s="667"/>
    </row>
    <row r="3" spans="1:24" s="64" customFormat="1" ht="12.75" customHeight="1" x14ac:dyDescent="0.2">
      <c r="A3" s="660"/>
      <c r="B3" s="661"/>
      <c r="C3" s="661"/>
      <c r="D3" s="661"/>
      <c r="E3" s="661"/>
      <c r="F3" s="661"/>
      <c r="G3" s="661"/>
      <c r="H3" s="661"/>
      <c r="I3" s="661"/>
      <c r="J3" s="661"/>
      <c r="K3" s="661"/>
      <c r="L3" s="661"/>
      <c r="M3" s="662"/>
      <c r="N3" s="662"/>
      <c r="O3" s="662"/>
      <c r="P3" s="665"/>
      <c r="Q3" s="666"/>
      <c r="R3" s="666"/>
      <c r="S3" s="665"/>
      <c r="T3" s="666"/>
      <c r="U3" s="666"/>
      <c r="V3" s="661"/>
      <c r="W3" s="661"/>
      <c r="X3" s="667"/>
    </row>
    <row r="4" spans="1:24" ht="6.75" hidden="1" customHeight="1" x14ac:dyDescent="0.2">
      <c r="A4" s="385"/>
      <c r="B4" s="386"/>
      <c r="C4" s="386"/>
      <c r="D4" s="386"/>
      <c r="E4" s="386"/>
      <c r="F4" s="386"/>
      <c r="G4" s="387"/>
      <c r="H4" s="387"/>
      <c r="I4" s="387"/>
      <c r="J4" s="387"/>
      <c r="K4" s="387"/>
      <c r="L4" s="387"/>
      <c r="M4" s="387"/>
      <c r="N4" s="387"/>
      <c r="O4" s="387"/>
      <c r="P4" s="388"/>
      <c r="Q4" s="388"/>
      <c r="R4" s="388"/>
      <c r="S4" s="388"/>
      <c r="T4" s="388"/>
      <c r="U4" s="388"/>
      <c r="V4" s="387"/>
      <c r="W4" s="387"/>
      <c r="X4" s="389"/>
    </row>
    <row r="5" spans="1:24" ht="7.5" customHeight="1" x14ac:dyDescent="0.2">
      <c r="A5" s="654">
        <v>44670</v>
      </c>
      <c r="B5" s="655"/>
      <c r="C5" s="655"/>
      <c r="D5" s="655"/>
      <c r="E5" s="655"/>
      <c r="F5" s="655"/>
      <c r="G5" s="671">
        <v>6</v>
      </c>
      <c r="H5" s="672"/>
      <c r="I5" s="671">
        <v>1460</v>
      </c>
      <c r="J5" s="676">
        <v>1.1200000000000001</v>
      </c>
      <c r="K5" s="671">
        <v>0</v>
      </c>
      <c r="L5" s="672"/>
      <c r="M5" s="652" t="s">
        <v>469</v>
      </c>
      <c r="N5" s="652"/>
      <c r="O5" s="652"/>
      <c r="P5" s="668" t="s">
        <v>470</v>
      </c>
      <c r="Q5" s="669"/>
      <c r="R5" s="669"/>
      <c r="S5" s="652" t="s">
        <v>471</v>
      </c>
      <c r="T5" s="652"/>
      <c r="U5" s="652"/>
      <c r="V5" s="653">
        <v>17</v>
      </c>
      <c r="W5" s="653"/>
      <c r="X5" s="670"/>
    </row>
    <row r="6" spans="1:24" ht="7.5" customHeight="1" x14ac:dyDescent="0.2">
      <c r="A6" s="654"/>
      <c r="B6" s="655"/>
      <c r="C6" s="655"/>
      <c r="D6" s="655"/>
      <c r="E6" s="655"/>
      <c r="F6" s="655"/>
      <c r="G6" s="673"/>
      <c r="H6" s="674"/>
      <c r="I6" s="673"/>
      <c r="J6" s="677"/>
      <c r="K6" s="673"/>
      <c r="L6" s="674"/>
      <c r="M6" s="652"/>
      <c r="N6" s="652"/>
      <c r="O6" s="652"/>
      <c r="P6" s="669"/>
      <c r="Q6" s="669"/>
      <c r="R6" s="669"/>
      <c r="S6" s="652"/>
      <c r="T6" s="652"/>
      <c r="U6" s="652"/>
      <c r="V6" s="653"/>
      <c r="W6" s="653"/>
      <c r="X6" s="670"/>
    </row>
    <row r="7" spans="1:24" ht="7.5" customHeight="1" x14ac:dyDescent="0.2">
      <c r="A7" s="654">
        <v>44671</v>
      </c>
      <c r="B7" s="655"/>
      <c r="C7" s="655"/>
      <c r="D7" s="655"/>
      <c r="E7" s="655"/>
      <c r="F7" s="655"/>
      <c r="G7" s="671">
        <v>6</v>
      </c>
      <c r="H7" s="672"/>
      <c r="I7" s="675">
        <v>1984</v>
      </c>
      <c r="J7" s="676">
        <v>1.1100000000000001</v>
      </c>
      <c r="K7" s="653">
        <v>0</v>
      </c>
      <c r="L7" s="653"/>
      <c r="M7" s="678" t="s">
        <v>469</v>
      </c>
      <c r="N7" s="678"/>
      <c r="O7" s="678"/>
      <c r="P7" s="680" t="s">
        <v>470</v>
      </c>
      <c r="Q7" s="681"/>
      <c r="R7" s="681"/>
      <c r="S7" s="680" t="s">
        <v>471</v>
      </c>
      <c r="T7" s="681"/>
      <c r="U7" s="681"/>
      <c r="V7" s="653">
        <v>32</v>
      </c>
      <c r="W7" s="653"/>
      <c r="X7" s="670"/>
    </row>
    <row r="8" spans="1:24" ht="7.5" customHeight="1" x14ac:dyDescent="0.2">
      <c r="A8" s="654"/>
      <c r="B8" s="655"/>
      <c r="C8" s="655"/>
      <c r="D8" s="655"/>
      <c r="E8" s="655"/>
      <c r="F8" s="655"/>
      <c r="G8" s="673"/>
      <c r="H8" s="674"/>
      <c r="I8" s="675"/>
      <c r="J8" s="677"/>
      <c r="K8" s="653"/>
      <c r="L8" s="653"/>
      <c r="M8" s="679"/>
      <c r="N8" s="679"/>
      <c r="O8" s="679"/>
      <c r="P8" s="682"/>
      <c r="Q8" s="683"/>
      <c r="R8" s="683"/>
      <c r="S8" s="682"/>
      <c r="T8" s="683"/>
      <c r="U8" s="683"/>
      <c r="V8" s="653"/>
      <c r="W8" s="653"/>
      <c r="X8" s="670"/>
    </row>
    <row r="9" spans="1:24" ht="6.75" customHeight="1" x14ac:dyDescent="0.2">
      <c r="A9" s="654">
        <v>44672</v>
      </c>
      <c r="B9" s="655"/>
      <c r="C9" s="655"/>
      <c r="D9" s="655"/>
      <c r="E9" s="655"/>
      <c r="F9" s="655"/>
      <c r="G9" s="671">
        <v>6</v>
      </c>
      <c r="H9" s="672"/>
      <c r="I9" s="653">
        <v>2520</v>
      </c>
      <c r="J9" s="656">
        <v>1.1100000000000001</v>
      </c>
      <c r="K9" s="653">
        <v>0</v>
      </c>
      <c r="L9" s="653"/>
      <c r="M9" s="652" t="s">
        <v>469</v>
      </c>
      <c r="N9" s="652"/>
      <c r="O9" s="652"/>
      <c r="P9" s="668" t="s">
        <v>470</v>
      </c>
      <c r="Q9" s="669"/>
      <c r="R9" s="669"/>
      <c r="S9" s="652" t="s">
        <v>471</v>
      </c>
      <c r="T9" s="652"/>
      <c r="U9" s="652"/>
      <c r="V9" s="653">
        <v>31</v>
      </c>
      <c r="W9" s="653"/>
      <c r="X9" s="670"/>
    </row>
    <row r="10" spans="1:24" ht="6.75" customHeight="1" x14ac:dyDescent="0.2">
      <c r="A10" s="654"/>
      <c r="B10" s="655"/>
      <c r="C10" s="655"/>
      <c r="D10" s="655"/>
      <c r="E10" s="655"/>
      <c r="F10" s="655"/>
      <c r="G10" s="673"/>
      <c r="H10" s="674"/>
      <c r="I10" s="653"/>
      <c r="J10" s="656"/>
      <c r="K10" s="653"/>
      <c r="L10" s="653"/>
      <c r="M10" s="652"/>
      <c r="N10" s="652"/>
      <c r="O10" s="652"/>
      <c r="P10" s="669"/>
      <c r="Q10" s="669"/>
      <c r="R10" s="669"/>
      <c r="S10" s="652"/>
      <c r="T10" s="652"/>
      <c r="U10" s="652"/>
      <c r="V10" s="653"/>
      <c r="W10" s="653"/>
      <c r="X10" s="670"/>
    </row>
    <row r="11" spans="1:24" ht="6.75" customHeight="1" x14ac:dyDescent="0.2">
      <c r="A11" s="654"/>
      <c r="B11" s="655"/>
      <c r="C11" s="655"/>
      <c r="D11" s="655"/>
      <c r="E11" s="655"/>
      <c r="F11" s="655"/>
      <c r="G11" s="671"/>
      <c r="H11" s="672"/>
      <c r="I11" s="671"/>
      <c r="J11" s="676"/>
      <c r="K11" s="671"/>
      <c r="L11" s="672"/>
      <c r="M11" s="678"/>
      <c r="N11" s="678"/>
      <c r="O11" s="678"/>
      <c r="P11" s="680"/>
      <c r="Q11" s="681"/>
      <c r="R11" s="681"/>
      <c r="S11" s="680"/>
      <c r="T11" s="681"/>
      <c r="U11" s="681"/>
      <c r="V11" s="671"/>
      <c r="W11" s="690"/>
      <c r="X11" s="691"/>
    </row>
    <row r="12" spans="1:24" ht="6.75" customHeight="1" x14ac:dyDescent="0.2">
      <c r="A12" s="654"/>
      <c r="B12" s="655"/>
      <c r="C12" s="655"/>
      <c r="D12" s="655"/>
      <c r="E12" s="655"/>
      <c r="F12" s="655"/>
      <c r="G12" s="684"/>
      <c r="H12" s="685"/>
      <c r="I12" s="684"/>
      <c r="J12" s="686"/>
      <c r="K12" s="684"/>
      <c r="L12" s="685"/>
      <c r="M12" s="687"/>
      <c r="N12" s="687"/>
      <c r="O12" s="687"/>
      <c r="P12" s="688"/>
      <c r="Q12" s="689"/>
      <c r="R12" s="689"/>
      <c r="S12" s="688"/>
      <c r="T12" s="689"/>
      <c r="U12" s="689"/>
      <c r="V12" s="684"/>
      <c r="W12" s="692"/>
      <c r="X12" s="693"/>
    </row>
    <row r="13" spans="1:24" ht="6.75" customHeight="1" x14ac:dyDescent="0.2">
      <c r="A13" s="654"/>
      <c r="B13" s="655"/>
      <c r="C13" s="655"/>
      <c r="D13" s="655"/>
      <c r="E13" s="655"/>
      <c r="F13" s="655"/>
      <c r="G13" s="653"/>
      <c r="H13" s="653"/>
      <c r="I13" s="653"/>
      <c r="J13" s="656"/>
      <c r="K13" s="653"/>
      <c r="L13" s="653"/>
      <c r="M13" s="651"/>
      <c r="N13" s="651"/>
      <c r="O13" s="651"/>
      <c r="P13" s="652"/>
      <c r="Q13" s="652"/>
      <c r="R13" s="652"/>
      <c r="S13" s="652"/>
      <c r="T13" s="652"/>
      <c r="U13" s="652"/>
      <c r="V13" s="653"/>
      <c r="W13" s="653"/>
      <c r="X13" s="653"/>
    </row>
    <row r="14" spans="1:24" ht="6.75" customHeight="1" x14ac:dyDescent="0.2">
      <c r="A14" s="654"/>
      <c r="B14" s="655"/>
      <c r="C14" s="655"/>
      <c r="D14" s="655"/>
      <c r="E14" s="655"/>
      <c r="F14" s="655"/>
      <c r="G14" s="653"/>
      <c r="H14" s="653"/>
      <c r="I14" s="653"/>
      <c r="J14" s="656"/>
      <c r="K14" s="653"/>
      <c r="L14" s="653"/>
      <c r="M14" s="651"/>
      <c r="N14" s="651"/>
      <c r="O14" s="651"/>
      <c r="P14" s="652"/>
      <c r="Q14" s="652"/>
      <c r="R14" s="652"/>
      <c r="S14" s="652"/>
      <c r="T14" s="652"/>
      <c r="U14" s="652"/>
      <c r="V14" s="653"/>
      <c r="W14" s="653"/>
      <c r="X14" s="653"/>
    </row>
    <row r="15" spans="1:24" ht="6.75" customHeight="1" x14ac:dyDescent="0.2">
      <c r="A15" s="654"/>
      <c r="B15" s="655"/>
      <c r="C15" s="655"/>
      <c r="D15" s="655"/>
      <c r="E15" s="655"/>
      <c r="F15" s="655"/>
      <c r="G15" s="653"/>
      <c r="H15" s="653"/>
      <c r="I15" s="653"/>
      <c r="J15" s="656"/>
      <c r="K15" s="653"/>
      <c r="L15" s="653"/>
      <c r="M15" s="652"/>
      <c r="N15" s="652"/>
      <c r="O15" s="652"/>
      <c r="P15" s="668"/>
      <c r="Q15" s="669"/>
      <c r="R15" s="669"/>
      <c r="S15" s="652"/>
      <c r="T15" s="652"/>
      <c r="U15" s="652"/>
      <c r="V15" s="653"/>
      <c r="W15" s="653"/>
      <c r="X15" s="653"/>
    </row>
    <row r="16" spans="1:24" ht="6.75" customHeight="1" x14ac:dyDescent="0.2">
      <c r="A16" s="654"/>
      <c r="B16" s="655"/>
      <c r="C16" s="655"/>
      <c r="D16" s="655"/>
      <c r="E16" s="655"/>
      <c r="F16" s="655"/>
      <c r="G16" s="653"/>
      <c r="H16" s="653"/>
      <c r="I16" s="653"/>
      <c r="J16" s="656"/>
      <c r="K16" s="653"/>
      <c r="L16" s="653"/>
      <c r="M16" s="652"/>
      <c r="N16" s="652"/>
      <c r="O16" s="652"/>
      <c r="P16" s="669"/>
      <c r="Q16" s="669"/>
      <c r="R16" s="669"/>
      <c r="S16" s="652"/>
      <c r="T16" s="652"/>
      <c r="U16" s="652"/>
      <c r="V16" s="653"/>
      <c r="W16" s="653"/>
      <c r="X16" s="653"/>
    </row>
    <row r="17" spans="1:24" ht="6.75" customHeight="1" x14ac:dyDescent="0.2">
      <c r="A17" s="654"/>
      <c r="B17" s="655"/>
      <c r="C17" s="655"/>
      <c r="D17" s="655"/>
      <c r="E17" s="655"/>
      <c r="F17" s="655"/>
      <c r="G17" s="653"/>
      <c r="H17" s="653"/>
      <c r="I17" s="653"/>
      <c r="J17" s="656"/>
      <c r="K17" s="653"/>
      <c r="L17" s="653"/>
      <c r="M17" s="651"/>
      <c r="N17" s="651"/>
      <c r="O17" s="651"/>
      <c r="P17" s="652"/>
      <c r="Q17" s="652"/>
      <c r="R17" s="652"/>
      <c r="S17" s="652"/>
      <c r="T17" s="652"/>
      <c r="U17" s="652"/>
      <c r="V17" s="653"/>
      <c r="W17" s="653"/>
      <c r="X17" s="653"/>
    </row>
    <row r="18" spans="1:24" ht="6.75" customHeight="1" x14ac:dyDescent="0.2">
      <c r="A18" s="654"/>
      <c r="B18" s="655"/>
      <c r="C18" s="655"/>
      <c r="D18" s="655"/>
      <c r="E18" s="655"/>
      <c r="F18" s="655"/>
      <c r="G18" s="653"/>
      <c r="H18" s="653"/>
      <c r="I18" s="653"/>
      <c r="J18" s="656"/>
      <c r="K18" s="653"/>
      <c r="L18" s="653"/>
      <c r="M18" s="651"/>
      <c r="N18" s="651"/>
      <c r="O18" s="651"/>
      <c r="P18" s="652"/>
      <c r="Q18" s="652"/>
      <c r="R18" s="652"/>
      <c r="S18" s="652"/>
      <c r="T18" s="652"/>
      <c r="U18" s="652"/>
      <c r="V18" s="653"/>
      <c r="W18" s="653"/>
      <c r="X18" s="653"/>
    </row>
    <row r="19" spans="1:24" ht="6.75" customHeight="1" x14ac:dyDescent="0.2">
      <c r="A19" s="654"/>
      <c r="B19" s="655"/>
      <c r="C19" s="655"/>
      <c r="D19" s="655"/>
      <c r="E19" s="655"/>
      <c r="F19" s="655"/>
      <c r="G19" s="653"/>
      <c r="H19" s="653"/>
      <c r="I19" s="653"/>
      <c r="J19" s="656"/>
      <c r="K19" s="653"/>
      <c r="L19" s="653"/>
      <c r="M19" s="651"/>
      <c r="N19" s="651"/>
      <c r="O19" s="651"/>
      <c r="P19" s="652"/>
      <c r="Q19" s="652"/>
      <c r="R19" s="652"/>
      <c r="S19" s="652"/>
      <c r="T19" s="652"/>
      <c r="U19" s="652"/>
      <c r="V19" s="653"/>
      <c r="W19" s="653"/>
      <c r="X19" s="653"/>
    </row>
    <row r="20" spans="1:24" ht="6.75" customHeight="1" x14ac:dyDescent="0.2">
      <c r="A20" s="654"/>
      <c r="B20" s="655"/>
      <c r="C20" s="655"/>
      <c r="D20" s="655"/>
      <c r="E20" s="655"/>
      <c r="F20" s="655"/>
      <c r="G20" s="653"/>
      <c r="H20" s="653"/>
      <c r="I20" s="653"/>
      <c r="J20" s="656"/>
      <c r="K20" s="653"/>
      <c r="L20" s="653"/>
      <c r="M20" s="651"/>
      <c r="N20" s="651"/>
      <c r="O20" s="651"/>
      <c r="P20" s="652"/>
      <c r="Q20" s="652"/>
      <c r="R20" s="652"/>
      <c r="S20" s="652"/>
      <c r="T20" s="652"/>
      <c r="U20" s="652"/>
      <c r="V20" s="653"/>
      <c r="W20" s="653"/>
      <c r="X20" s="653"/>
    </row>
    <row r="21" spans="1:24" ht="6.75" customHeight="1" x14ac:dyDescent="0.2">
      <c r="A21" s="654"/>
      <c r="B21" s="655"/>
      <c r="C21" s="655"/>
      <c r="D21" s="655"/>
      <c r="E21" s="655"/>
      <c r="F21" s="655"/>
      <c r="G21" s="653"/>
      <c r="H21" s="653"/>
      <c r="I21" s="653"/>
      <c r="J21" s="656"/>
      <c r="K21" s="653"/>
      <c r="L21" s="653"/>
      <c r="M21" s="651"/>
      <c r="N21" s="651"/>
      <c r="O21" s="651"/>
      <c r="P21" s="652"/>
      <c r="Q21" s="652"/>
      <c r="R21" s="652"/>
      <c r="S21" s="652"/>
      <c r="T21" s="652"/>
      <c r="U21" s="652"/>
      <c r="V21" s="653"/>
      <c r="W21" s="653"/>
      <c r="X21" s="653"/>
    </row>
    <row r="22" spans="1:24" ht="6.75" customHeight="1" x14ac:dyDescent="0.2">
      <c r="A22" s="654"/>
      <c r="B22" s="655"/>
      <c r="C22" s="655"/>
      <c r="D22" s="655"/>
      <c r="E22" s="655"/>
      <c r="F22" s="655"/>
      <c r="G22" s="653"/>
      <c r="H22" s="653"/>
      <c r="I22" s="653"/>
      <c r="J22" s="656"/>
      <c r="K22" s="653"/>
      <c r="L22" s="653"/>
      <c r="M22" s="651"/>
      <c r="N22" s="651"/>
      <c r="O22" s="651"/>
      <c r="P22" s="652"/>
      <c r="Q22" s="652"/>
      <c r="R22" s="652"/>
      <c r="S22" s="652"/>
      <c r="T22" s="652"/>
      <c r="U22" s="652"/>
      <c r="V22" s="653"/>
      <c r="W22" s="653"/>
      <c r="X22" s="653"/>
    </row>
    <row r="23" spans="1:24" ht="6.75" customHeight="1" x14ac:dyDescent="0.2">
      <c r="A23" s="654"/>
      <c r="B23" s="655"/>
      <c r="C23" s="655"/>
      <c r="D23" s="655"/>
      <c r="E23" s="655"/>
      <c r="F23" s="655"/>
      <c r="G23" s="653"/>
      <c r="H23" s="653"/>
      <c r="I23" s="653"/>
      <c r="J23" s="656"/>
      <c r="K23" s="653"/>
      <c r="L23" s="653"/>
      <c r="M23" s="651"/>
      <c r="N23" s="651"/>
      <c r="O23" s="651"/>
      <c r="P23" s="652"/>
      <c r="Q23" s="652"/>
      <c r="R23" s="652"/>
      <c r="S23" s="652"/>
      <c r="T23" s="652"/>
      <c r="U23" s="652"/>
      <c r="V23" s="653"/>
      <c r="W23" s="653"/>
      <c r="X23" s="653"/>
    </row>
    <row r="24" spans="1:24" ht="6.75" customHeight="1" x14ac:dyDescent="0.2">
      <c r="A24" s="654"/>
      <c r="B24" s="655"/>
      <c r="C24" s="655"/>
      <c r="D24" s="655"/>
      <c r="E24" s="655"/>
      <c r="F24" s="655"/>
      <c r="G24" s="653"/>
      <c r="H24" s="653"/>
      <c r="I24" s="653"/>
      <c r="J24" s="656"/>
      <c r="K24" s="653"/>
      <c r="L24" s="653"/>
      <c r="M24" s="651"/>
      <c r="N24" s="651"/>
      <c r="O24" s="651"/>
      <c r="P24" s="652"/>
      <c r="Q24" s="652"/>
      <c r="R24" s="652"/>
      <c r="S24" s="652"/>
      <c r="T24" s="652"/>
      <c r="U24" s="652"/>
      <c r="V24" s="653"/>
      <c r="W24" s="653"/>
      <c r="X24" s="653"/>
    </row>
    <row r="25" spans="1:24" ht="6.75" customHeight="1" x14ac:dyDescent="0.2">
      <c r="A25" s="654"/>
      <c r="B25" s="655"/>
      <c r="C25" s="655"/>
      <c r="D25" s="655"/>
      <c r="E25" s="655"/>
      <c r="F25" s="655"/>
      <c r="G25" s="653"/>
      <c r="H25" s="653"/>
      <c r="I25" s="653"/>
      <c r="J25" s="656"/>
      <c r="K25" s="653"/>
      <c r="L25" s="653"/>
      <c r="M25" s="651"/>
      <c r="N25" s="651"/>
      <c r="O25" s="651"/>
      <c r="P25" s="652"/>
      <c r="Q25" s="652"/>
      <c r="R25" s="652"/>
      <c r="S25" s="652"/>
      <c r="T25" s="652"/>
      <c r="U25" s="652"/>
      <c r="V25" s="653"/>
      <c r="W25" s="653"/>
      <c r="X25" s="653"/>
    </row>
    <row r="26" spans="1:24" ht="6.75" customHeight="1" x14ac:dyDescent="0.2">
      <c r="A26" s="654"/>
      <c r="B26" s="655"/>
      <c r="C26" s="655"/>
      <c r="D26" s="655"/>
      <c r="E26" s="655"/>
      <c r="F26" s="655"/>
      <c r="G26" s="653"/>
      <c r="H26" s="653"/>
      <c r="I26" s="653"/>
      <c r="J26" s="656"/>
      <c r="K26" s="653"/>
      <c r="L26" s="653"/>
      <c r="M26" s="651"/>
      <c r="N26" s="651"/>
      <c r="O26" s="651"/>
      <c r="P26" s="652"/>
      <c r="Q26" s="652"/>
      <c r="R26" s="652"/>
      <c r="S26" s="652"/>
      <c r="T26" s="652"/>
      <c r="U26" s="652"/>
      <c r="V26" s="653"/>
      <c r="W26" s="653"/>
      <c r="X26" s="653"/>
    </row>
    <row r="27" spans="1:24" ht="6.75" customHeight="1" x14ac:dyDescent="0.2">
      <c r="A27" s="654"/>
      <c r="B27" s="655"/>
      <c r="C27" s="655"/>
      <c r="D27" s="655"/>
      <c r="E27" s="655"/>
      <c r="F27" s="655"/>
      <c r="G27" s="653"/>
      <c r="H27" s="653"/>
      <c r="I27" s="653"/>
      <c r="J27" s="656"/>
      <c r="K27" s="653"/>
      <c r="L27" s="653"/>
      <c r="M27" s="651"/>
      <c r="N27" s="651"/>
      <c r="O27" s="651"/>
      <c r="P27" s="652"/>
      <c r="Q27" s="652"/>
      <c r="R27" s="652"/>
      <c r="S27" s="652"/>
      <c r="T27" s="652"/>
      <c r="U27" s="652"/>
      <c r="V27" s="653"/>
      <c r="W27" s="653"/>
      <c r="X27" s="653"/>
    </row>
    <row r="28" spans="1:24" ht="6.75" customHeight="1" x14ac:dyDescent="0.2">
      <c r="A28" s="654"/>
      <c r="B28" s="655"/>
      <c r="C28" s="655"/>
      <c r="D28" s="655"/>
      <c r="E28" s="655"/>
      <c r="F28" s="655"/>
      <c r="G28" s="653"/>
      <c r="H28" s="653"/>
      <c r="I28" s="653"/>
      <c r="J28" s="656"/>
      <c r="K28" s="653"/>
      <c r="L28" s="653"/>
      <c r="M28" s="651"/>
      <c r="N28" s="651"/>
      <c r="O28" s="651"/>
      <c r="P28" s="652"/>
      <c r="Q28" s="652"/>
      <c r="R28" s="652"/>
      <c r="S28" s="652"/>
      <c r="T28" s="652"/>
      <c r="U28" s="652"/>
      <c r="V28" s="653"/>
      <c r="W28" s="653"/>
      <c r="X28" s="653"/>
    </row>
    <row r="29" spans="1:24" ht="6.75" customHeight="1" x14ac:dyDescent="0.2">
      <c r="A29" s="654"/>
      <c r="B29" s="655"/>
      <c r="C29" s="655"/>
      <c r="D29" s="655"/>
      <c r="E29" s="655"/>
      <c r="F29" s="655"/>
      <c r="G29" s="653"/>
      <c r="H29" s="653"/>
      <c r="I29" s="653"/>
      <c r="J29" s="656"/>
      <c r="K29" s="653"/>
      <c r="L29" s="653"/>
      <c r="M29" s="651"/>
      <c r="N29" s="651"/>
      <c r="O29" s="651"/>
      <c r="P29" s="652"/>
      <c r="Q29" s="652"/>
      <c r="R29" s="652"/>
      <c r="S29" s="652"/>
      <c r="T29" s="652"/>
      <c r="U29" s="652"/>
      <c r="V29" s="653"/>
      <c r="W29" s="653"/>
      <c r="X29" s="653"/>
    </row>
    <row r="30" spans="1:24" ht="6.75" customHeight="1" x14ac:dyDescent="0.2">
      <c r="A30" s="654"/>
      <c r="B30" s="655"/>
      <c r="C30" s="655"/>
      <c r="D30" s="655"/>
      <c r="E30" s="655"/>
      <c r="F30" s="655"/>
      <c r="G30" s="653"/>
      <c r="H30" s="653"/>
      <c r="I30" s="653"/>
      <c r="J30" s="656"/>
      <c r="K30" s="653"/>
      <c r="L30" s="653"/>
      <c r="M30" s="651"/>
      <c r="N30" s="651"/>
      <c r="O30" s="651"/>
      <c r="P30" s="652"/>
      <c r="Q30" s="652"/>
      <c r="R30" s="652"/>
      <c r="S30" s="652"/>
      <c r="T30" s="652"/>
      <c r="U30" s="652"/>
      <c r="V30" s="653"/>
      <c r="W30" s="653"/>
      <c r="X30" s="653"/>
    </row>
    <row r="31" spans="1:24" ht="6.75" customHeight="1" x14ac:dyDescent="0.2">
      <c r="A31" s="654">
        <v>44513</v>
      </c>
      <c r="B31" s="655"/>
      <c r="C31" s="655"/>
      <c r="D31" s="655"/>
      <c r="E31" s="655"/>
      <c r="F31" s="655"/>
      <c r="G31" s="653">
        <v>8</v>
      </c>
      <c r="H31" s="653"/>
      <c r="I31" s="653">
        <v>4981.7</v>
      </c>
      <c r="J31" s="656">
        <v>1.71</v>
      </c>
      <c r="K31" s="653">
        <v>0</v>
      </c>
      <c r="L31" s="653"/>
      <c r="M31" s="651" t="s">
        <v>462</v>
      </c>
      <c r="N31" s="651"/>
      <c r="O31" s="651"/>
      <c r="P31" s="652" t="s">
        <v>463</v>
      </c>
      <c r="Q31" s="652"/>
      <c r="R31" s="652"/>
      <c r="S31" s="652" t="s">
        <v>464</v>
      </c>
      <c r="T31" s="652"/>
      <c r="U31" s="652"/>
      <c r="V31" s="653">
        <v>89</v>
      </c>
      <c r="W31" s="653"/>
      <c r="X31" s="653"/>
    </row>
    <row r="32" spans="1:24" ht="6.75" customHeight="1" x14ac:dyDescent="0.2">
      <c r="A32" s="654"/>
      <c r="B32" s="655"/>
      <c r="C32" s="655"/>
      <c r="D32" s="655"/>
      <c r="E32" s="655"/>
      <c r="F32" s="655"/>
      <c r="G32" s="653"/>
      <c r="H32" s="653"/>
      <c r="I32" s="653"/>
      <c r="J32" s="656"/>
      <c r="K32" s="653"/>
      <c r="L32" s="653"/>
      <c r="M32" s="651"/>
      <c r="N32" s="651"/>
      <c r="O32" s="651"/>
      <c r="P32" s="652"/>
      <c r="Q32" s="652"/>
      <c r="R32" s="652"/>
      <c r="S32" s="652"/>
      <c r="T32" s="652"/>
      <c r="U32" s="652"/>
      <c r="V32" s="653"/>
      <c r="W32" s="653"/>
      <c r="X32" s="653"/>
    </row>
    <row r="33" spans="1:24" ht="6.75" customHeight="1" x14ac:dyDescent="0.2">
      <c r="A33" s="654">
        <v>44515</v>
      </c>
      <c r="B33" s="655"/>
      <c r="C33" s="655"/>
      <c r="D33" s="655"/>
      <c r="E33" s="655"/>
      <c r="F33" s="655"/>
      <c r="G33" s="653">
        <v>8</v>
      </c>
      <c r="H33" s="653"/>
      <c r="I33" s="653">
        <v>4987</v>
      </c>
      <c r="J33" s="656">
        <v>1.71</v>
      </c>
      <c r="K33" s="653">
        <v>0</v>
      </c>
      <c r="L33" s="653"/>
      <c r="M33" s="651" t="s">
        <v>462</v>
      </c>
      <c r="N33" s="651"/>
      <c r="O33" s="651"/>
      <c r="P33" s="652" t="s">
        <v>463</v>
      </c>
      <c r="Q33" s="652"/>
      <c r="R33" s="652"/>
      <c r="S33" s="652" t="s">
        <v>464</v>
      </c>
      <c r="T33" s="652"/>
      <c r="U33" s="652"/>
      <c r="V33" s="653">
        <v>83</v>
      </c>
      <c r="W33" s="653"/>
      <c r="X33" s="653"/>
    </row>
    <row r="34" spans="1:24" ht="6.75" customHeight="1" x14ac:dyDescent="0.2">
      <c r="A34" s="654"/>
      <c r="B34" s="655"/>
      <c r="C34" s="655"/>
      <c r="D34" s="655"/>
      <c r="E34" s="655"/>
      <c r="F34" s="655"/>
      <c r="G34" s="653"/>
      <c r="H34" s="653"/>
      <c r="I34" s="653"/>
      <c r="J34" s="656"/>
      <c r="K34" s="653"/>
      <c r="L34" s="653"/>
      <c r="M34" s="651"/>
      <c r="N34" s="651"/>
      <c r="O34" s="651"/>
      <c r="P34" s="652"/>
      <c r="Q34" s="652"/>
      <c r="R34" s="652"/>
      <c r="S34" s="652"/>
      <c r="T34" s="652"/>
      <c r="U34" s="652"/>
      <c r="V34" s="653"/>
      <c r="W34" s="653"/>
      <c r="X34" s="653"/>
    </row>
    <row r="35" spans="1:24" ht="6.75" customHeight="1" x14ac:dyDescent="0.2">
      <c r="A35" s="654">
        <v>44516</v>
      </c>
      <c r="B35" s="655"/>
      <c r="C35" s="655"/>
      <c r="D35" s="655"/>
      <c r="E35" s="655"/>
      <c r="F35" s="655"/>
      <c r="G35" s="653">
        <v>8</v>
      </c>
      <c r="H35" s="653"/>
      <c r="I35" s="653">
        <v>5030.7</v>
      </c>
      <c r="J35" s="656">
        <v>1.71</v>
      </c>
      <c r="K35" s="653">
        <v>0</v>
      </c>
      <c r="L35" s="653"/>
      <c r="M35" s="651" t="s">
        <v>462</v>
      </c>
      <c r="N35" s="651"/>
      <c r="O35" s="651"/>
      <c r="P35" s="652" t="s">
        <v>463</v>
      </c>
      <c r="Q35" s="652"/>
      <c r="R35" s="652"/>
      <c r="S35" s="652" t="s">
        <v>464</v>
      </c>
      <c r="T35" s="652"/>
      <c r="U35" s="652"/>
      <c r="V35" s="653">
        <v>85</v>
      </c>
      <c r="W35" s="653"/>
      <c r="X35" s="653"/>
    </row>
    <row r="36" spans="1:24" ht="6.75" customHeight="1" x14ac:dyDescent="0.2">
      <c r="A36" s="654"/>
      <c r="B36" s="655"/>
      <c r="C36" s="655"/>
      <c r="D36" s="655"/>
      <c r="E36" s="655"/>
      <c r="F36" s="655"/>
      <c r="G36" s="653"/>
      <c r="H36" s="653"/>
      <c r="I36" s="653"/>
      <c r="J36" s="656"/>
      <c r="K36" s="653"/>
      <c r="L36" s="653"/>
      <c r="M36" s="651"/>
      <c r="N36" s="651"/>
      <c r="O36" s="651"/>
      <c r="P36" s="652"/>
      <c r="Q36" s="652"/>
      <c r="R36" s="652"/>
      <c r="S36" s="652"/>
      <c r="T36" s="652"/>
      <c r="U36" s="652"/>
      <c r="V36" s="653"/>
      <c r="W36" s="653"/>
      <c r="X36" s="653"/>
    </row>
    <row r="37" spans="1:24" ht="6.75" customHeight="1" x14ac:dyDescent="0.2">
      <c r="A37" s="654">
        <v>44517</v>
      </c>
      <c r="B37" s="655"/>
      <c r="C37" s="655"/>
      <c r="D37" s="655"/>
      <c r="E37" s="655"/>
      <c r="F37" s="655"/>
      <c r="G37" s="653">
        <v>8</v>
      </c>
      <c r="H37" s="653"/>
      <c r="I37" s="653">
        <v>5141.2</v>
      </c>
      <c r="J37" s="656">
        <v>1.71</v>
      </c>
      <c r="K37" s="653">
        <v>0</v>
      </c>
      <c r="L37" s="653"/>
      <c r="M37" s="651" t="s">
        <v>462</v>
      </c>
      <c r="N37" s="651"/>
      <c r="O37" s="651"/>
      <c r="P37" s="652" t="s">
        <v>463</v>
      </c>
      <c r="Q37" s="652"/>
      <c r="R37" s="652"/>
      <c r="S37" s="652" t="s">
        <v>464</v>
      </c>
      <c r="T37" s="652"/>
      <c r="U37" s="652"/>
      <c r="V37" s="653">
        <v>89</v>
      </c>
      <c r="W37" s="653"/>
      <c r="X37" s="653"/>
    </row>
    <row r="38" spans="1:24" ht="6.75" customHeight="1" x14ac:dyDescent="0.2">
      <c r="A38" s="654"/>
      <c r="B38" s="655"/>
      <c r="C38" s="655"/>
      <c r="D38" s="655"/>
      <c r="E38" s="655"/>
      <c r="F38" s="655"/>
      <c r="G38" s="653"/>
      <c r="H38" s="653"/>
      <c r="I38" s="653"/>
      <c r="J38" s="656"/>
      <c r="K38" s="653"/>
      <c r="L38" s="653"/>
      <c r="M38" s="651"/>
      <c r="N38" s="651"/>
      <c r="O38" s="651"/>
      <c r="P38" s="652"/>
      <c r="Q38" s="652"/>
      <c r="R38" s="652"/>
      <c r="S38" s="652"/>
      <c r="T38" s="652"/>
      <c r="U38" s="652"/>
      <c r="V38" s="653"/>
      <c r="W38" s="653"/>
      <c r="X38" s="653"/>
    </row>
    <row r="39" spans="1:24" ht="6.75" customHeight="1" x14ac:dyDescent="0.2">
      <c r="A39" s="654">
        <v>44518</v>
      </c>
      <c r="B39" s="655"/>
      <c r="C39" s="655"/>
      <c r="D39" s="655"/>
      <c r="E39" s="655"/>
      <c r="F39" s="655"/>
      <c r="G39" s="653">
        <v>8</v>
      </c>
      <c r="H39" s="653"/>
      <c r="I39" s="653">
        <v>5188.3</v>
      </c>
      <c r="J39" s="656">
        <v>1.71</v>
      </c>
      <c r="K39" s="653">
        <v>0</v>
      </c>
      <c r="L39" s="653"/>
      <c r="M39" s="651" t="s">
        <v>462</v>
      </c>
      <c r="N39" s="651"/>
      <c r="O39" s="651"/>
      <c r="P39" s="652" t="s">
        <v>463</v>
      </c>
      <c r="Q39" s="652"/>
      <c r="R39" s="652"/>
      <c r="S39" s="652" t="s">
        <v>464</v>
      </c>
      <c r="T39" s="652"/>
      <c r="U39" s="652"/>
      <c r="V39" s="653">
        <v>89</v>
      </c>
      <c r="W39" s="653"/>
      <c r="X39" s="653"/>
    </row>
    <row r="40" spans="1:24" ht="6.75" customHeight="1" x14ac:dyDescent="0.2">
      <c r="A40" s="654"/>
      <c r="B40" s="655"/>
      <c r="C40" s="655"/>
      <c r="D40" s="655"/>
      <c r="E40" s="655"/>
      <c r="F40" s="655"/>
      <c r="G40" s="653"/>
      <c r="H40" s="653"/>
      <c r="I40" s="653"/>
      <c r="J40" s="656"/>
      <c r="K40" s="653"/>
      <c r="L40" s="653"/>
      <c r="M40" s="651"/>
      <c r="N40" s="651"/>
      <c r="O40" s="651"/>
      <c r="P40" s="652"/>
      <c r="Q40" s="652"/>
      <c r="R40" s="652"/>
      <c r="S40" s="652"/>
      <c r="T40" s="652"/>
      <c r="U40" s="652"/>
      <c r="V40" s="653"/>
      <c r="W40" s="653"/>
      <c r="X40" s="653"/>
    </row>
    <row r="41" spans="1:24" ht="6.75" customHeight="1" x14ac:dyDescent="0.2">
      <c r="A41" s="654">
        <v>44519</v>
      </c>
      <c r="B41" s="655"/>
      <c r="C41" s="655"/>
      <c r="D41" s="655"/>
      <c r="E41" s="655"/>
      <c r="F41" s="655"/>
      <c r="G41" s="653">
        <v>8</v>
      </c>
      <c r="H41" s="653"/>
      <c r="I41" s="653">
        <v>5243.7999999999993</v>
      </c>
      <c r="J41" s="656">
        <v>1.71</v>
      </c>
      <c r="K41" s="653">
        <v>0</v>
      </c>
      <c r="L41" s="653"/>
      <c r="M41" s="651" t="s">
        <v>462</v>
      </c>
      <c r="N41" s="651"/>
      <c r="O41" s="651"/>
      <c r="P41" s="652" t="s">
        <v>463</v>
      </c>
      <c r="Q41" s="652"/>
      <c r="R41" s="652"/>
      <c r="S41" s="652" t="s">
        <v>464</v>
      </c>
      <c r="T41" s="652"/>
      <c r="U41" s="652"/>
      <c r="V41" s="653">
        <v>88</v>
      </c>
      <c r="W41" s="653"/>
      <c r="X41" s="653"/>
    </row>
    <row r="42" spans="1:24" ht="6.75" customHeight="1" x14ac:dyDescent="0.2">
      <c r="A42" s="654"/>
      <c r="B42" s="655"/>
      <c r="C42" s="655"/>
      <c r="D42" s="655"/>
      <c r="E42" s="655"/>
      <c r="F42" s="655"/>
      <c r="G42" s="653"/>
      <c r="H42" s="653"/>
      <c r="I42" s="653"/>
      <c r="J42" s="656"/>
      <c r="K42" s="653"/>
      <c r="L42" s="653"/>
      <c r="M42" s="651"/>
      <c r="N42" s="651"/>
      <c r="O42" s="651"/>
      <c r="P42" s="652"/>
      <c r="Q42" s="652"/>
      <c r="R42" s="652"/>
      <c r="S42" s="652"/>
      <c r="T42" s="652"/>
      <c r="U42" s="652"/>
      <c r="V42" s="653"/>
      <c r="W42" s="653"/>
      <c r="X42" s="653"/>
    </row>
    <row r="43" spans="1:24" ht="6.75" customHeight="1" x14ac:dyDescent="0.2">
      <c r="A43" s="654">
        <v>44520</v>
      </c>
      <c r="B43" s="655"/>
      <c r="C43" s="655"/>
      <c r="D43" s="655"/>
      <c r="E43" s="655"/>
      <c r="F43" s="655"/>
      <c r="G43" s="653">
        <v>8</v>
      </c>
      <c r="H43" s="653"/>
      <c r="I43" s="653">
        <v>5274</v>
      </c>
      <c r="J43" s="656">
        <v>1.71</v>
      </c>
      <c r="K43" s="653">
        <v>0</v>
      </c>
      <c r="L43" s="653"/>
      <c r="M43" s="651" t="s">
        <v>462</v>
      </c>
      <c r="N43" s="651"/>
      <c r="O43" s="651"/>
      <c r="P43" s="652" t="s">
        <v>463</v>
      </c>
      <c r="Q43" s="652"/>
      <c r="R43" s="652"/>
      <c r="S43" s="652" t="s">
        <v>464</v>
      </c>
      <c r="T43" s="652"/>
      <c r="U43" s="652"/>
      <c r="V43" s="653">
        <v>89</v>
      </c>
      <c r="W43" s="653"/>
      <c r="X43" s="653"/>
    </row>
    <row r="44" spans="1:24" ht="6.75" customHeight="1" x14ac:dyDescent="0.2">
      <c r="A44" s="654"/>
      <c r="B44" s="655"/>
      <c r="C44" s="655"/>
      <c r="D44" s="655"/>
      <c r="E44" s="655"/>
      <c r="F44" s="655"/>
      <c r="G44" s="653"/>
      <c r="H44" s="653"/>
      <c r="I44" s="653"/>
      <c r="J44" s="656"/>
      <c r="K44" s="653"/>
      <c r="L44" s="653"/>
      <c r="M44" s="651"/>
      <c r="N44" s="651"/>
      <c r="O44" s="651"/>
      <c r="P44" s="652"/>
      <c r="Q44" s="652"/>
      <c r="R44" s="652"/>
      <c r="S44" s="652"/>
      <c r="T44" s="652"/>
      <c r="U44" s="652"/>
      <c r="V44" s="653"/>
      <c r="W44" s="653"/>
      <c r="X44" s="653"/>
    </row>
    <row r="45" spans="1:24" ht="6.75" customHeight="1" x14ac:dyDescent="0.2">
      <c r="A45" s="654"/>
      <c r="B45" s="655"/>
      <c r="C45" s="655"/>
      <c r="D45" s="655"/>
      <c r="E45" s="655"/>
      <c r="F45" s="655"/>
      <c r="G45" s="653"/>
      <c r="H45" s="653"/>
      <c r="I45" s="653"/>
      <c r="J45" s="656"/>
      <c r="K45" s="653"/>
      <c r="L45" s="653"/>
      <c r="M45" s="651"/>
      <c r="N45" s="651"/>
      <c r="O45" s="651"/>
      <c r="P45" s="652"/>
      <c r="Q45" s="652"/>
      <c r="R45" s="652"/>
      <c r="S45" s="652"/>
      <c r="T45" s="652"/>
      <c r="U45" s="652"/>
      <c r="V45" s="653"/>
      <c r="W45" s="653"/>
      <c r="X45" s="653"/>
    </row>
    <row r="46" spans="1:24" ht="6.75" customHeight="1" x14ac:dyDescent="0.2">
      <c r="A46" s="654"/>
      <c r="B46" s="655"/>
      <c r="C46" s="655"/>
      <c r="D46" s="655"/>
      <c r="E46" s="655"/>
      <c r="F46" s="655"/>
      <c r="G46" s="653"/>
      <c r="H46" s="653"/>
      <c r="I46" s="653"/>
      <c r="J46" s="656"/>
      <c r="K46" s="653"/>
      <c r="L46" s="653"/>
      <c r="M46" s="651"/>
      <c r="N46" s="651"/>
      <c r="O46" s="651"/>
      <c r="P46" s="652"/>
      <c r="Q46" s="652"/>
      <c r="R46" s="652"/>
      <c r="S46" s="652"/>
      <c r="T46" s="652"/>
      <c r="U46" s="652"/>
      <c r="V46" s="653"/>
      <c r="W46" s="653"/>
      <c r="X46" s="653"/>
    </row>
    <row r="47" spans="1:24" ht="6.75" customHeight="1" x14ac:dyDescent="0.2">
      <c r="A47" s="654"/>
      <c r="B47" s="655"/>
      <c r="C47" s="655"/>
      <c r="D47" s="655"/>
      <c r="E47" s="655"/>
      <c r="F47" s="655"/>
      <c r="G47" s="653"/>
      <c r="H47" s="653"/>
      <c r="I47" s="653"/>
      <c r="J47" s="656"/>
      <c r="K47" s="653"/>
      <c r="L47" s="653"/>
      <c r="M47" s="651"/>
      <c r="N47" s="651"/>
      <c r="O47" s="651"/>
      <c r="P47" s="652"/>
      <c r="Q47" s="652"/>
      <c r="R47" s="652"/>
      <c r="S47" s="652"/>
      <c r="T47" s="652"/>
      <c r="U47" s="652"/>
      <c r="V47" s="653"/>
      <c r="W47" s="653"/>
      <c r="X47" s="653"/>
    </row>
    <row r="48" spans="1:24" ht="6.75" customHeight="1" x14ac:dyDescent="0.2">
      <c r="A48" s="654"/>
      <c r="B48" s="655"/>
      <c r="C48" s="655"/>
      <c r="D48" s="655"/>
      <c r="E48" s="655"/>
      <c r="F48" s="655"/>
      <c r="G48" s="653"/>
      <c r="H48" s="653"/>
      <c r="I48" s="653"/>
      <c r="J48" s="656"/>
      <c r="K48" s="653"/>
      <c r="L48" s="653"/>
      <c r="M48" s="651"/>
      <c r="N48" s="651"/>
      <c r="O48" s="651"/>
      <c r="P48" s="652"/>
      <c r="Q48" s="652"/>
      <c r="R48" s="652"/>
      <c r="S48" s="652"/>
      <c r="T48" s="652"/>
      <c r="U48" s="652"/>
      <c r="V48" s="653"/>
      <c r="W48" s="653"/>
      <c r="X48" s="653"/>
    </row>
    <row r="49" spans="1:24" ht="6.75" customHeight="1" x14ac:dyDescent="0.2">
      <c r="A49" s="654"/>
      <c r="B49" s="655"/>
      <c r="C49" s="655"/>
      <c r="D49" s="655"/>
      <c r="E49" s="655"/>
      <c r="F49" s="655"/>
      <c r="G49" s="653"/>
      <c r="H49" s="653"/>
      <c r="I49" s="653"/>
      <c r="J49" s="656"/>
      <c r="K49" s="653"/>
      <c r="L49" s="653"/>
      <c r="M49" s="651"/>
      <c r="N49" s="651"/>
      <c r="O49" s="651"/>
      <c r="P49" s="652"/>
      <c r="Q49" s="652"/>
      <c r="R49" s="652"/>
      <c r="S49" s="652"/>
      <c r="T49" s="652"/>
      <c r="U49" s="652"/>
      <c r="V49" s="653"/>
      <c r="W49" s="653"/>
      <c r="X49" s="653"/>
    </row>
    <row r="50" spans="1:24" ht="6.75" customHeight="1" x14ac:dyDescent="0.2">
      <c r="A50" s="654"/>
      <c r="B50" s="655"/>
      <c r="C50" s="655"/>
      <c r="D50" s="655"/>
      <c r="E50" s="655"/>
      <c r="F50" s="655"/>
      <c r="G50" s="653"/>
      <c r="H50" s="653"/>
      <c r="I50" s="653"/>
      <c r="J50" s="656"/>
      <c r="K50" s="653"/>
      <c r="L50" s="653"/>
      <c r="M50" s="651"/>
      <c r="N50" s="651"/>
      <c r="O50" s="651"/>
      <c r="P50" s="652"/>
      <c r="Q50" s="652"/>
      <c r="R50" s="652"/>
      <c r="S50" s="652"/>
      <c r="T50" s="652"/>
      <c r="U50" s="652"/>
      <c r="V50" s="653"/>
      <c r="W50" s="653"/>
      <c r="X50" s="653"/>
    </row>
    <row r="51" spans="1:24" ht="6.75" customHeight="1" x14ac:dyDescent="0.2">
      <c r="A51" s="654"/>
      <c r="B51" s="655"/>
      <c r="C51" s="655"/>
      <c r="D51" s="655"/>
      <c r="E51" s="655"/>
      <c r="F51" s="655"/>
      <c r="G51" s="653"/>
      <c r="H51" s="653"/>
      <c r="I51" s="653"/>
      <c r="J51" s="656"/>
      <c r="K51" s="653"/>
      <c r="L51" s="653"/>
      <c r="M51" s="651"/>
      <c r="N51" s="651"/>
      <c r="O51" s="651"/>
      <c r="P51" s="652"/>
      <c r="Q51" s="652"/>
      <c r="R51" s="652"/>
      <c r="S51" s="652"/>
      <c r="T51" s="652"/>
      <c r="U51" s="652"/>
      <c r="V51" s="653"/>
      <c r="W51" s="653"/>
      <c r="X51" s="653"/>
    </row>
    <row r="52" spans="1:24" ht="6.75" customHeight="1" x14ac:dyDescent="0.2">
      <c r="A52" s="654"/>
      <c r="B52" s="655"/>
      <c r="C52" s="655"/>
      <c r="D52" s="655"/>
      <c r="E52" s="655"/>
      <c r="F52" s="655"/>
      <c r="G52" s="653"/>
      <c r="H52" s="653"/>
      <c r="I52" s="653"/>
      <c r="J52" s="656"/>
      <c r="K52" s="653"/>
      <c r="L52" s="653"/>
      <c r="M52" s="651"/>
      <c r="N52" s="651"/>
      <c r="O52" s="651"/>
      <c r="P52" s="652"/>
      <c r="Q52" s="652"/>
      <c r="R52" s="652"/>
      <c r="S52" s="652"/>
      <c r="T52" s="652"/>
      <c r="U52" s="652"/>
      <c r="V52" s="653"/>
      <c r="W52" s="653"/>
      <c r="X52" s="653"/>
    </row>
    <row r="53" spans="1:24" ht="6.75" customHeight="1" x14ac:dyDescent="0.2">
      <c r="A53" s="654"/>
      <c r="B53" s="655"/>
      <c r="C53" s="655"/>
      <c r="D53" s="655"/>
      <c r="E53" s="655"/>
      <c r="F53" s="655"/>
      <c r="G53" s="653"/>
      <c r="H53" s="653"/>
      <c r="I53" s="653"/>
      <c r="J53" s="656"/>
      <c r="K53" s="653"/>
      <c r="L53" s="653"/>
      <c r="M53" s="651"/>
      <c r="N53" s="651"/>
      <c r="O53" s="651"/>
      <c r="P53" s="652"/>
      <c r="Q53" s="652"/>
      <c r="R53" s="652"/>
      <c r="S53" s="652"/>
      <c r="T53" s="652"/>
      <c r="U53" s="652"/>
      <c r="V53" s="653"/>
      <c r="W53" s="653"/>
      <c r="X53" s="653"/>
    </row>
    <row r="54" spans="1:24" ht="6.75" customHeight="1" x14ac:dyDescent="0.2">
      <c r="A54" s="654"/>
      <c r="B54" s="655"/>
      <c r="C54" s="655"/>
      <c r="D54" s="655"/>
      <c r="E54" s="655"/>
      <c r="F54" s="655"/>
      <c r="G54" s="653"/>
      <c r="H54" s="653"/>
      <c r="I54" s="653"/>
      <c r="J54" s="656"/>
      <c r="K54" s="653"/>
      <c r="L54" s="653"/>
      <c r="M54" s="651"/>
      <c r="N54" s="651"/>
      <c r="O54" s="651"/>
      <c r="P54" s="652"/>
      <c r="Q54" s="652"/>
      <c r="R54" s="652"/>
      <c r="S54" s="652"/>
      <c r="T54" s="652"/>
      <c r="U54" s="652"/>
      <c r="V54" s="653"/>
      <c r="W54" s="653"/>
      <c r="X54" s="653"/>
    </row>
    <row r="55" spans="1:24" ht="6.75" customHeight="1" x14ac:dyDescent="0.2">
      <c r="A55" s="654"/>
      <c r="B55" s="655"/>
      <c r="C55" s="655"/>
      <c r="D55" s="655"/>
      <c r="E55" s="655"/>
      <c r="F55" s="655"/>
      <c r="G55" s="653"/>
      <c r="H55" s="653"/>
      <c r="I55" s="653"/>
      <c r="J55" s="656"/>
      <c r="K55" s="653"/>
      <c r="L55" s="653"/>
      <c r="M55" s="651"/>
      <c r="N55" s="651"/>
      <c r="O55" s="651"/>
      <c r="P55" s="652"/>
      <c r="Q55" s="652"/>
      <c r="R55" s="652"/>
      <c r="S55" s="652"/>
      <c r="T55" s="652"/>
      <c r="U55" s="652"/>
      <c r="V55" s="653"/>
      <c r="W55" s="653"/>
      <c r="X55" s="653"/>
    </row>
    <row r="56" spans="1:24" ht="6.75" customHeight="1" x14ac:dyDescent="0.2">
      <c r="A56" s="654"/>
      <c r="B56" s="655"/>
      <c r="C56" s="655"/>
      <c r="D56" s="655"/>
      <c r="E56" s="655"/>
      <c r="F56" s="655"/>
      <c r="G56" s="653"/>
      <c r="H56" s="653"/>
      <c r="I56" s="653"/>
      <c r="J56" s="656"/>
      <c r="K56" s="653"/>
      <c r="L56" s="653"/>
      <c r="M56" s="651"/>
      <c r="N56" s="651"/>
      <c r="O56" s="651"/>
      <c r="P56" s="652"/>
      <c r="Q56" s="652"/>
      <c r="R56" s="652"/>
      <c r="S56" s="652"/>
      <c r="T56" s="652"/>
      <c r="U56" s="652"/>
      <c r="V56" s="653"/>
      <c r="W56" s="653"/>
      <c r="X56" s="653"/>
    </row>
    <row r="57" spans="1:24" ht="6.75" customHeight="1" x14ac:dyDescent="0.2">
      <c r="A57" s="654"/>
      <c r="B57" s="655"/>
      <c r="C57" s="655"/>
      <c r="D57" s="655"/>
      <c r="E57" s="655"/>
      <c r="F57" s="655"/>
      <c r="G57" s="653"/>
      <c r="H57" s="653"/>
      <c r="I57" s="653"/>
      <c r="J57" s="656"/>
      <c r="K57" s="653"/>
      <c r="L57" s="653"/>
      <c r="M57" s="651"/>
      <c r="N57" s="651"/>
      <c r="O57" s="651"/>
      <c r="P57" s="652"/>
      <c r="Q57" s="652"/>
      <c r="R57" s="652"/>
      <c r="S57" s="652"/>
      <c r="T57" s="652"/>
      <c r="U57" s="652"/>
      <c r="V57" s="653"/>
      <c r="W57" s="653"/>
      <c r="X57" s="653"/>
    </row>
    <row r="58" spans="1:24" ht="6.75" customHeight="1" x14ac:dyDescent="0.2">
      <c r="A58" s="654"/>
      <c r="B58" s="655"/>
      <c r="C58" s="655"/>
      <c r="D58" s="655"/>
      <c r="E58" s="655"/>
      <c r="F58" s="655"/>
      <c r="G58" s="653"/>
      <c r="H58" s="653"/>
      <c r="I58" s="653"/>
      <c r="J58" s="656"/>
      <c r="K58" s="653"/>
      <c r="L58" s="653"/>
      <c r="M58" s="651"/>
      <c r="N58" s="651"/>
      <c r="O58" s="651"/>
      <c r="P58" s="652"/>
      <c r="Q58" s="652"/>
      <c r="R58" s="652"/>
      <c r="S58" s="652"/>
      <c r="T58" s="652"/>
      <c r="U58" s="652"/>
      <c r="V58" s="653"/>
      <c r="W58" s="653"/>
      <c r="X58" s="653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E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4" customWidth="1"/>
    <col min="2" max="2" width="5" style="326" customWidth="1"/>
    <col min="3" max="3" width="17.7109375" customWidth="1"/>
    <col min="4" max="4" width="66.85546875" customWidth="1"/>
  </cols>
  <sheetData>
    <row r="1" spans="1:5" ht="25.5" customHeight="1" x14ac:dyDescent="0.2">
      <c r="A1" s="694" t="s">
        <v>370</v>
      </c>
      <c r="B1" s="695"/>
      <c r="C1" s="695"/>
      <c r="D1" s="696"/>
    </row>
    <row r="2" spans="1:5" ht="6.75" customHeight="1" x14ac:dyDescent="0.2">
      <c r="A2" s="352"/>
      <c r="B2" s="279"/>
      <c r="C2" s="280"/>
      <c r="D2" s="353"/>
    </row>
    <row r="3" spans="1:5" ht="12.75" customHeight="1" x14ac:dyDescent="0.2">
      <c r="A3" s="354" t="s">
        <v>371</v>
      </c>
      <c r="B3" s="283">
        <f>RunSum!C2</f>
        <v>6</v>
      </c>
      <c r="C3" s="283" t="s">
        <v>429</v>
      </c>
      <c r="D3" s="353"/>
    </row>
    <row r="4" spans="1:5" ht="6.75" customHeight="1" x14ac:dyDescent="0.2">
      <c r="A4" s="352"/>
      <c r="B4" s="279"/>
      <c r="C4" s="280"/>
      <c r="D4" s="353"/>
    </row>
    <row r="5" spans="1:5" ht="12.75" customHeight="1" x14ac:dyDescent="0.2">
      <c r="A5" s="354" t="s">
        <v>373</v>
      </c>
      <c r="B5" s="279"/>
      <c r="C5" s="280"/>
      <c r="D5" s="353"/>
    </row>
    <row r="6" spans="1:5" ht="12.75" x14ac:dyDescent="0.2">
      <c r="A6" s="697" t="s">
        <v>374</v>
      </c>
      <c r="B6" s="698"/>
      <c r="C6" s="698"/>
      <c r="D6" s="703"/>
    </row>
    <row r="7" spans="1:5" ht="12.75" x14ac:dyDescent="0.2">
      <c r="A7" s="355" t="s">
        <v>439</v>
      </c>
      <c r="B7" s="351"/>
      <c r="C7" s="351"/>
      <c r="D7" s="356"/>
    </row>
    <row r="8" spans="1:5" ht="12.75" x14ac:dyDescent="0.2">
      <c r="A8" s="355" t="s">
        <v>375</v>
      </c>
      <c r="B8" s="351"/>
      <c r="C8" s="351"/>
      <c r="D8" s="356"/>
    </row>
    <row r="9" spans="1:5" ht="6.75" customHeight="1" x14ac:dyDescent="0.2">
      <c r="A9" s="352"/>
      <c r="B9" s="279"/>
      <c r="C9" s="280"/>
      <c r="D9" s="353"/>
      <c r="E9" s="22"/>
    </row>
    <row r="10" spans="1:5" ht="12.75" customHeight="1" x14ac:dyDescent="0.2">
      <c r="A10" s="354" t="s">
        <v>376</v>
      </c>
      <c r="B10" s="279"/>
      <c r="C10" s="280"/>
      <c r="D10" s="357" t="s">
        <v>377</v>
      </c>
      <c r="E10" s="22"/>
    </row>
    <row r="11" spans="1:5" ht="12.75" customHeight="1" x14ac:dyDescent="0.2">
      <c r="A11" s="697" t="s">
        <v>378</v>
      </c>
      <c r="B11" s="698"/>
      <c r="C11" s="279" t="str">
        <f>CONCATENATE(RunSum!C3," мм")</f>
        <v>155,6 мм</v>
      </c>
      <c r="D11" s="357" t="s">
        <v>379</v>
      </c>
    </row>
    <row r="12" spans="1:5" ht="12.75" customHeight="1" x14ac:dyDescent="0.2">
      <c r="A12" s="697" t="s">
        <v>380</v>
      </c>
      <c r="B12" s="698"/>
      <c r="C12" s="279" t="str">
        <f>CONCATENATE(RunSum!C20," г/см3")</f>
        <v>1,12 г/см3</v>
      </c>
      <c r="D12" s="357" t="s">
        <v>381</v>
      </c>
    </row>
    <row r="13" spans="1:5" ht="12.75" customHeight="1" x14ac:dyDescent="0.2">
      <c r="A13" s="697" t="s">
        <v>382</v>
      </c>
      <c r="B13" s="698"/>
      <c r="C13" s="279" t="str">
        <f>CONCATENATE(RunSum!C30," °C")</f>
        <v>32 °C</v>
      </c>
      <c r="D13" s="357" t="s">
        <v>383</v>
      </c>
    </row>
    <row r="14" spans="1:5" ht="12.75" customHeight="1" x14ac:dyDescent="0.2">
      <c r="A14" s="697" t="s">
        <v>384</v>
      </c>
      <c r="B14" s="698"/>
      <c r="C14" s="394" t="str">
        <f xml:space="preserve"> CONCATENATE( RunSum!C24*1.65, " ppm")</f>
        <v>36300 ppm</v>
      </c>
      <c r="D14" s="357"/>
    </row>
    <row r="15" spans="1:5" ht="9" customHeight="1" x14ac:dyDescent="0.2">
      <c r="A15" s="697" t="s">
        <v>385</v>
      </c>
      <c r="B15" s="698"/>
      <c r="C15" s="288" t="str">
        <f>RunSum!C19</f>
        <v>Биополимерный KCL</v>
      </c>
      <c r="D15" s="357"/>
    </row>
    <row r="16" spans="1:5" ht="12.75" customHeight="1" x14ac:dyDescent="0.2">
      <c r="A16" s="697" t="s">
        <v>386</v>
      </c>
      <c r="B16" s="698"/>
      <c r="C16" s="279" t="s">
        <v>387</v>
      </c>
      <c r="D16" s="356"/>
    </row>
    <row r="17" spans="1:5" ht="11.25" customHeight="1" x14ac:dyDescent="0.2">
      <c r="A17" s="697" t="s">
        <v>388</v>
      </c>
      <c r="B17" s="698"/>
      <c r="C17" s="393" t="str">
        <f>RunSum!C27</f>
        <v>0.20@20</v>
      </c>
      <c r="D17" s="356"/>
    </row>
    <row r="18" spans="1:5" ht="12.75" customHeight="1" x14ac:dyDescent="0.2">
      <c r="A18" s="701" t="s">
        <v>389</v>
      </c>
      <c r="B18" s="702"/>
      <c r="C18" s="289" t="str">
        <f>RunSum!C32</f>
        <v>0</v>
      </c>
      <c r="D18" s="358"/>
    </row>
    <row r="19" spans="1:5" ht="6.75" customHeight="1" x14ac:dyDescent="0.2">
      <c r="A19" s="292"/>
      <c r="B19" s="293"/>
      <c r="C19" s="294"/>
      <c r="D19" s="295"/>
    </row>
    <row r="20" spans="1:5" ht="12.75" customHeight="1" x14ac:dyDescent="0.2">
      <c r="A20" s="282" t="s">
        <v>371</v>
      </c>
      <c r="B20" s="283">
        <f>RunSum!D2</f>
        <v>0</v>
      </c>
      <c r="C20" s="283" t="s">
        <v>372</v>
      </c>
      <c r="D20" s="281"/>
    </row>
    <row r="21" spans="1:5" ht="6.75" customHeight="1" x14ac:dyDescent="0.2">
      <c r="A21" s="278"/>
      <c r="B21" s="279"/>
      <c r="C21" s="280"/>
      <c r="D21" s="281"/>
    </row>
    <row r="22" spans="1:5" ht="12.75" customHeight="1" x14ac:dyDescent="0.2">
      <c r="A22" s="282" t="s">
        <v>373</v>
      </c>
      <c r="B22" s="279"/>
      <c r="C22" s="280"/>
      <c r="D22" s="281"/>
    </row>
    <row r="23" spans="1:5" ht="12.75" customHeight="1" x14ac:dyDescent="0.2">
      <c r="A23" s="699" t="s">
        <v>374</v>
      </c>
      <c r="B23" s="698"/>
      <c r="C23" s="698"/>
      <c r="D23" s="700"/>
    </row>
    <row r="24" spans="1:5" ht="12.75" customHeight="1" x14ac:dyDescent="0.2">
      <c r="A24" s="342" t="s">
        <v>427</v>
      </c>
      <c r="B24" s="343"/>
      <c r="C24" s="343"/>
      <c r="D24" s="344"/>
    </row>
    <row r="25" spans="1:5" ht="12.75" customHeight="1" x14ac:dyDescent="0.2">
      <c r="A25" s="342" t="s">
        <v>375</v>
      </c>
      <c r="B25" s="343"/>
      <c r="C25" s="343"/>
      <c r="D25" s="344"/>
    </row>
    <row r="26" spans="1:5" ht="6.75" customHeight="1" x14ac:dyDescent="0.2">
      <c r="A26" s="342"/>
      <c r="B26" s="343"/>
      <c r="C26" s="343"/>
      <c r="D26" s="344"/>
    </row>
    <row r="27" spans="1:5" ht="12.75" customHeight="1" x14ac:dyDescent="0.2">
      <c r="A27" s="282" t="s">
        <v>376</v>
      </c>
      <c r="B27" s="279"/>
      <c r="C27" s="280"/>
      <c r="D27" s="287" t="s">
        <v>377</v>
      </c>
      <c r="E27" s="22"/>
    </row>
    <row r="28" spans="1:5" ht="12.75" customHeight="1" x14ac:dyDescent="0.2">
      <c r="A28" s="342" t="s">
        <v>378</v>
      </c>
      <c r="B28" s="343"/>
      <c r="C28" s="279" t="str">
        <f>CONCATENATE(RunSum!D3," мм")</f>
        <v xml:space="preserve"> мм</v>
      </c>
      <c r="D28" s="287" t="s">
        <v>379</v>
      </c>
    </row>
    <row r="29" spans="1:5" ht="12.75" customHeight="1" x14ac:dyDescent="0.2">
      <c r="A29" s="342" t="s">
        <v>380</v>
      </c>
      <c r="B29" s="343"/>
      <c r="C29" s="279" t="str">
        <f>CONCATENATE(RunSum!D20," г/см3")</f>
        <v xml:space="preserve"> г/см3</v>
      </c>
      <c r="D29" s="287" t="s">
        <v>381</v>
      </c>
    </row>
    <row r="30" spans="1:5" ht="12.75" customHeight="1" x14ac:dyDescent="0.2">
      <c r="A30" s="342" t="s">
        <v>382</v>
      </c>
      <c r="B30" s="343"/>
      <c r="C30" s="279" t="str">
        <f>CONCATENATE(RunSum!D30," °C")</f>
        <v xml:space="preserve"> °C</v>
      </c>
      <c r="D30" s="287" t="s">
        <v>383</v>
      </c>
    </row>
    <row r="31" spans="1:5" ht="12.75" customHeight="1" x14ac:dyDescent="0.2">
      <c r="A31" s="342" t="s">
        <v>384</v>
      </c>
      <c r="B31" s="343"/>
      <c r="C31" s="394" t="str">
        <f>CONCATENATE(RunSum!D24 * 1.65, " ppm")</f>
        <v>0 ppm</v>
      </c>
      <c r="D31" s="287"/>
    </row>
    <row r="32" spans="1:5" ht="9.75" customHeight="1" x14ac:dyDescent="0.2">
      <c r="A32" s="704" t="s">
        <v>385</v>
      </c>
      <c r="B32" s="705"/>
      <c r="C32" s="288">
        <f>RunSum!D19</f>
        <v>0</v>
      </c>
      <c r="D32" s="287"/>
    </row>
    <row r="33" spans="1:5" ht="10.5" customHeight="1" x14ac:dyDescent="0.2">
      <c r="A33" s="342" t="s">
        <v>386</v>
      </c>
      <c r="B33" s="343"/>
      <c r="C33" s="279" t="s">
        <v>387</v>
      </c>
      <c r="D33" s="344"/>
    </row>
    <row r="34" spans="1:5" ht="11.25" customHeight="1" x14ac:dyDescent="0.2">
      <c r="A34" s="342" t="s">
        <v>388</v>
      </c>
      <c r="B34" s="343"/>
      <c r="C34" s="394">
        <f>RunSum!D27</f>
        <v>0</v>
      </c>
      <c r="D34" s="344"/>
    </row>
    <row r="35" spans="1:5" ht="12.75" customHeight="1" thickBot="1" x14ac:dyDescent="0.25">
      <c r="A35" s="297" t="s">
        <v>389</v>
      </c>
      <c r="B35" s="298"/>
      <c r="C35" s="299" t="s">
        <v>430</v>
      </c>
      <c r="D35" s="300"/>
    </row>
    <row r="36" spans="1:5" ht="6.75" customHeight="1" x14ac:dyDescent="0.2">
      <c r="A36" s="278"/>
      <c r="B36" s="279"/>
      <c r="C36" s="280"/>
      <c r="D36" s="281"/>
    </row>
    <row r="37" spans="1:5" ht="12.75" customHeight="1" x14ac:dyDescent="0.2">
      <c r="A37" s="282" t="s">
        <v>371</v>
      </c>
      <c r="B37" s="283">
        <f>RunSum!E2</f>
        <v>0</v>
      </c>
      <c r="C37" s="283" t="s">
        <v>372</v>
      </c>
      <c r="D37" s="281"/>
    </row>
    <row r="38" spans="1:5" ht="6.75" customHeight="1" x14ac:dyDescent="0.2">
      <c r="A38" s="278"/>
      <c r="B38" s="279"/>
      <c r="C38" s="280"/>
      <c r="D38" s="281"/>
    </row>
    <row r="39" spans="1:5" ht="12.75" customHeight="1" x14ac:dyDescent="0.2">
      <c r="A39" s="282" t="s">
        <v>373</v>
      </c>
      <c r="B39" s="279"/>
      <c r="C39" s="280"/>
      <c r="D39" s="281"/>
    </row>
    <row r="40" spans="1:5" ht="12.75" customHeight="1" x14ac:dyDescent="0.2">
      <c r="A40" s="699" t="s">
        <v>428</v>
      </c>
      <c r="B40" s="698"/>
      <c r="C40" s="698"/>
      <c r="D40" s="700"/>
    </row>
    <row r="41" spans="1:5" ht="12.75" customHeight="1" x14ac:dyDescent="0.2">
      <c r="A41" s="342" t="s">
        <v>427</v>
      </c>
      <c r="B41" s="343"/>
      <c r="C41" s="343"/>
      <c r="D41" s="344"/>
    </row>
    <row r="42" spans="1:5" ht="12.75" customHeight="1" x14ac:dyDescent="0.2">
      <c r="A42" s="342" t="s">
        <v>375</v>
      </c>
      <c r="B42" s="343"/>
      <c r="C42" s="343"/>
      <c r="D42" s="344"/>
    </row>
    <row r="43" spans="1:5" ht="6.75" customHeight="1" x14ac:dyDescent="0.2">
      <c r="A43" s="342"/>
      <c r="B43" s="343"/>
      <c r="C43" s="343"/>
      <c r="D43" s="344"/>
    </row>
    <row r="44" spans="1:5" ht="12.75" customHeight="1" x14ac:dyDescent="0.2">
      <c r="A44" s="282" t="s">
        <v>376</v>
      </c>
      <c r="B44" s="279"/>
      <c r="C44" s="280"/>
      <c r="D44" s="287" t="s">
        <v>377</v>
      </c>
      <c r="E44" s="22"/>
    </row>
    <row r="45" spans="1:5" ht="12.75" customHeight="1" x14ac:dyDescent="0.2">
      <c r="A45" s="342" t="s">
        <v>378</v>
      </c>
      <c r="B45" s="343"/>
      <c r="C45" s="279" t="str">
        <f>CONCATENATE(RunSum!E3," мм")</f>
        <v xml:space="preserve"> мм</v>
      </c>
      <c r="D45" s="287" t="s">
        <v>379</v>
      </c>
    </row>
    <row r="46" spans="1:5" ht="12.75" customHeight="1" x14ac:dyDescent="0.2">
      <c r="A46" s="342" t="s">
        <v>380</v>
      </c>
      <c r="B46" s="343"/>
      <c r="C46" s="279" t="str">
        <f>CONCATENATE(RunSum!E20," г/см3")</f>
        <v xml:space="preserve"> г/см3</v>
      </c>
      <c r="D46" s="287" t="s">
        <v>381</v>
      </c>
    </row>
    <row r="47" spans="1:5" ht="12.75" customHeight="1" x14ac:dyDescent="0.2">
      <c r="A47" s="342" t="s">
        <v>382</v>
      </c>
      <c r="B47" s="343"/>
      <c r="C47" s="279" t="str">
        <f>CONCATENATE(RunSum!E30," °C")</f>
        <v xml:space="preserve"> °C</v>
      </c>
      <c r="D47" s="287" t="s">
        <v>383</v>
      </c>
    </row>
    <row r="48" spans="1:5" ht="12.75" customHeight="1" x14ac:dyDescent="0.2">
      <c r="A48" s="342" t="s">
        <v>384</v>
      </c>
      <c r="B48" s="343"/>
      <c r="C48" s="279" t="str">
        <f>CONCATENATE(RunSum!E24 * 1.65, " ppm")</f>
        <v>0 ppm</v>
      </c>
      <c r="D48" s="287"/>
    </row>
    <row r="49" spans="1:5" s="304" customFormat="1" ht="14.25" customHeight="1" x14ac:dyDescent="0.2">
      <c r="A49" s="301" t="s">
        <v>385</v>
      </c>
      <c r="B49" s="302"/>
      <c r="C49" s="288">
        <f>RunSum!E19</f>
        <v>0</v>
      </c>
      <c r="D49" s="303"/>
    </row>
    <row r="50" spans="1:5" ht="12.75" customHeight="1" x14ac:dyDescent="0.2">
      <c r="A50" s="342" t="s">
        <v>386</v>
      </c>
      <c r="B50" s="343"/>
      <c r="C50" s="279" t="s">
        <v>387</v>
      </c>
      <c r="D50" s="344"/>
    </row>
    <row r="51" spans="1:5" ht="12.75" customHeight="1" x14ac:dyDescent="0.2">
      <c r="A51" s="342" t="s">
        <v>388</v>
      </c>
      <c r="B51" s="343"/>
      <c r="C51" s="394">
        <f>RunSum!E27</f>
        <v>0</v>
      </c>
      <c r="D51" s="344"/>
    </row>
    <row r="52" spans="1:5" ht="12.75" customHeight="1" thickBot="1" x14ac:dyDescent="0.25">
      <c r="A52" s="297" t="s">
        <v>389</v>
      </c>
      <c r="B52" s="298"/>
      <c r="C52" s="299" t="s">
        <v>430</v>
      </c>
      <c r="D52" s="300"/>
    </row>
    <row r="53" spans="1:5" ht="9.9499999999999993" customHeight="1" x14ac:dyDescent="0.2">
      <c r="A53" s="278"/>
      <c r="B53" s="279"/>
      <c r="C53" s="280"/>
      <c r="D53" s="281"/>
    </row>
    <row r="54" spans="1:5" ht="12.75" customHeight="1" x14ac:dyDescent="0.2">
      <c r="A54" s="282" t="s">
        <v>371</v>
      </c>
      <c r="B54" s="283">
        <f>RunSum!F2</f>
        <v>0</v>
      </c>
      <c r="C54" s="283" t="s">
        <v>372</v>
      </c>
      <c r="D54" s="281"/>
    </row>
    <row r="55" spans="1:5" ht="9.9499999999999993" customHeight="1" x14ac:dyDescent="0.2">
      <c r="A55" s="278"/>
      <c r="B55" s="279"/>
      <c r="C55" s="280"/>
      <c r="D55" s="281"/>
    </row>
    <row r="56" spans="1:5" ht="12.75" customHeight="1" x14ac:dyDescent="0.2">
      <c r="A56" s="282" t="s">
        <v>373</v>
      </c>
      <c r="B56" s="279"/>
      <c r="C56" s="280"/>
      <c r="D56" s="281"/>
    </row>
    <row r="57" spans="1:5" ht="12.75" customHeight="1" x14ac:dyDescent="0.2">
      <c r="A57" s="699" t="s">
        <v>392</v>
      </c>
      <c r="B57" s="698"/>
      <c r="C57" s="698"/>
      <c r="D57" s="700"/>
    </row>
    <row r="58" spans="1:5" ht="12.75" customHeight="1" x14ac:dyDescent="0.2">
      <c r="A58" s="699" t="s">
        <v>375</v>
      </c>
      <c r="B58" s="698"/>
      <c r="C58" s="698"/>
      <c r="D58" s="700"/>
    </row>
    <row r="59" spans="1:5" ht="9.9499999999999993" customHeight="1" x14ac:dyDescent="0.2">
      <c r="A59" s="284"/>
      <c r="B59" s="285"/>
      <c r="C59" s="285"/>
      <c r="D59" s="286"/>
    </row>
    <row r="60" spans="1:5" ht="12.75" customHeight="1" x14ac:dyDescent="0.2">
      <c r="A60" s="282" t="s">
        <v>376</v>
      </c>
      <c r="B60" s="279"/>
      <c r="C60" s="280"/>
      <c r="D60" s="305"/>
      <c r="E60" s="22"/>
    </row>
    <row r="61" spans="1:5" ht="12.75" customHeight="1" x14ac:dyDescent="0.2">
      <c r="A61" s="284" t="s">
        <v>378</v>
      </c>
      <c r="B61" s="285"/>
      <c r="C61" s="279" t="str">
        <f>CONCATENATE(RunSum!F3," мм")</f>
        <v xml:space="preserve"> мм</v>
      </c>
      <c r="D61" s="287" t="s">
        <v>381</v>
      </c>
    </row>
    <row r="62" spans="1:5" ht="12.75" customHeight="1" x14ac:dyDescent="0.2">
      <c r="A62" s="284" t="s">
        <v>380</v>
      </c>
      <c r="B62" s="285"/>
      <c r="C62" s="279" t="str">
        <f>CONCATENATE(RunSum!F20," г/см3")</f>
        <v xml:space="preserve"> г/см3</v>
      </c>
      <c r="D62" s="287" t="s">
        <v>383</v>
      </c>
    </row>
    <row r="63" spans="1:5" ht="12.75" customHeight="1" x14ac:dyDescent="0.2">
      <c r="A63" s="284" t="s">
        <v>382</v>
      </c>
      <c r="B63" s="285"/>
      <c r="C63" s="296" t="str">
        <f>CONCATENATE(RunSum!F30," °C")</f>
        <v xml:space="preserve"> °C</v>
      </c>
      <c r="D63" s="287"/>
    </row>
    <row r="64" spans="1:5" ht="12.75" customHeight="1" x14ac:dyDescent="0.2">
      <c r="A64" s="284" t="s">
        <v>384</v>
      </c>
      <c r="B64" s="285"/>
      <c r="C64" s="279" t="s">
        <v>390</v>
      </c>
      <c r="D64" s="287"/>
    </row>
    <row r="65" spans="1:5" s="304" customFormat="1" ht="12.75" x14ac:dyDescent="0.2">
      <c r="A65" s="301" t="s">
        <v>385</v>
      </c>
      <c r="B65" s="302"/>
      <c r="C65" s="288">
        <f>RunSum!F19</f>
        <v>0</v>
      </c>
      <c r="D65" s="303"/>
    </row>
    <row r="66" spans="1:5" ht="12.75" customHeight="1" x14ac:dyDescent="0.2">
      <c r="A66" s="284" t="s">
        <v>386</v>
      </c>
      <c r="B66" s="285"/>
      <c r="C66" s="279" t="s">
        <v>391</v>
      </c>
      <c r="D66" s="286"/>
    </row>
    <row r="67" spans="1:5" ht="12.75" customHeight="1" x14ac:dyDescent="0.2">
      <c r="A67" s="284" t="s">
        <v>388</v>
      </c>
      <c r="B67" s="285"/>
      <c r="C67" s="296" t="str">
        <f>CONCATENATE(RunSum!F31," ",RunSum!B31)</f>
        <v xml:space="preserve"> ом-м</v>
      </c>
      <c r="D67" s="286"/>
    </row>
    <row r="68" spans="1:5" ht="12.75" customHeight="1" x14ac:dyDescent="0.2">
      <c r="A68" s="306" t="s">
        <v>389</v>
      </c>
      <c r="B68" s="290"/>
      <c r="C68" s="307">
        <f>RunSum!F32</f>
        <v>0</v>
      </c>
      <c r="D68" s="291"/>
    </row>
    <row r="69" spans="1:5" ht="9.9499999999999993" customHeight="1" x14ac:dyDescent="0.2">
      <c r="A69" s="292"/>
      <c r="B69" s="293"/>
      <c r="C69" s="294"/>
      <c r="D69" s="295"/>
    </row>
    <row r="70" spans="1:5" ht="12.75" customHeight="1" x14ac:dyDescent="0.2">
      <c r="A70" s="282" t="s">
        <v>371</v>
      </c>
      <c r="B70" s="283" t="e">
        <f>RunSum!#REF!</f>
        <v>#REF!</v>
      </c>
      <c r="C70" s="283" t="s">
        <v>372</v>
      </c>
      <c r="D70" s="281"/>
    </row>
    <row r="71" spans="1:5" ht="9.9499999999999993" customHeight="1" x14ac:dyDescent="0.2">
      <c r="A71" s="278"/>
      <c r="B71" s="279"/>
      <c r="C71" s="280"/>
      <c r="D71" s="281"/>
    </row>
    <row r="72" spans="1:5" ht="12.75" customHeight="1" x14ac:dyDescent="0.2">
      <c r="A72" s="282" t="s">
        <v>373</v>
      </c>
      <c r="B72" s="279"/>
      <c r="C72" s="280"/>
      <c r="D72" s="281"/>
    </row>
    <row r="73" spans="1:5" ht="12.75" customHeight="1" x14ac:dyDescent="0.2">
      <c r="A73" s="699" t="s">
        <v>392</v>
      </c>
      <c r="B73" s="698"/>
      <c r="C73" s="698"/>
      <c r="D73" s="700"/>
    </row>
    <row r="74" spans="1:5" ht="12.75" customHeight="1" x14ac:dyDescent="0.2">
      <c r="A74" s="699" t="s">
        <v>375</v>
      </c>
      <c r="B74" s="698"/>
      <c r="C74" s="698"/>
      <c r="D74" s="700"/>
    </row>
    <row r="75" spans="1:5" ht="9.9499999999999993" customHeight="1" x14ac:dyDescent="0.2">
      <c r="A75" s="284"/>
      <c r="B75" s="285"/>
      <c r="C75" s="285"/>
      <c r="D75" s="286"/>
    </row>
    <row r="76" spans="1:5" ht="12.75" customHeight="1" x14ac:dyDescent="0.2">
      <c r="A76" s="282" t="s">
        <v>376</v>
      </c>
      <c r="B76" s="279"/>
      <c r="C76" s="280"/>
      <c r="D76" s="305"/>
      <c r="E76" s="22"/>
    </row>
    <row r="77" spans="1:5" ht="12.75" customHeight="1" x14ac:dyDescent="0.2">
      <c r="A77" s="284" t="s">
        <v>378</v>
      </c>
      <c r="B77" s="285"/>
      <c r="C77" s="279" t="e">
        <f>CONCATENATE(RunSum!#REF!," мм")</f>
        <v>#REF!</v>
      </c>
      <c r="D77" s="287" t="s">
        <v>381</v>
      </c>
    </row>
    <row r="78" spans="1:5" ht="12.75" customHeight="1" x14ac:dyDescent="0.2">
      <c r="A78" s="284" t="s">
        <v>380</v>
      </c>
      <c r="B78" s="285"/>
      <c r="C78" s="279" t="e">
        <f>CONCATENATE(RunSum!#REF!," г/см3")</f>
        <v>#REF!</v>
      </c>
      <c r="D78" s="287" t="s">
        <v>383</v>
      </c>
    </row>
    <row r="79" spans="1:5" ht="12.75" customHeight="1" x14ac:dyDescent="0.2">
      <c r="A79" s="284" t="s">
        <v>382</v>
      </c>
      <c r="B79" s="285"/>
      <c r="C79" s="296" t="e">
        <f>CONCATENATE(RunSum!#REF!," °C")</f>
        <v>#REF!</v>
      </c>
      <c r="D79" s="287"/>
    </row>
    <row r="80" spans="1:5" ht="12.75" customHeight="1" x14ac:dyDescent="0.2">
      <c r="A80" s="284" t="s">
        <v>384</v>
      </c>
      <c r="B80" s="285"/>
      <c r="C80" s="279" t="s">
        <v>390</v>
      </c>
      <c r="D80" s="287"/>
    </row>
    <row r="81" spans="1:5" s="304" customFormat="1" ht="12.75" x14ac:dyDescent="0.2">
      <c r="A81" s="301" t="s">
        <v>385</v>
      </c>
      <c r="B81" s="302"/>
      <c r="C81" s="288" t="e">
        <f>RunSum!#REF!</f>
        <v>#REF!</v>
      </c>
      <c r="D81" s="303"/>
    </row>
    <row r="82" spans="1:5" ht="12.75" customHeight="1" x14ac:dyDescent="0.2">
      <c r="A82" s="284" t="s">
        <v>386</v>
      </c>
      <c r="B82" s="285"/>
      <c r="C82" s="279" t="s">
        <v>391</v>
      </c>
      <c r="D82" s="286"/>
    </row>
    <row r="83" spans="1:5" ht="12.75" customHeight="1" x14ac:dyDescent="0.2">
      <c r="A83" s="284" t="s">
        <v>388</v>
      </c>
      <c r="B83" s="285"/>
      <c r="C83" s="296" t="e">
        <f>CONCATENATE(RunSum!#REF!," ",RunSum!B63)</f>
        <v>#REF!</v>
      </c>
      <c r="D83" s="286"/>
    </row>
    <row r="84" spans="1:5" ht="12.75" customHeight="1" x14ac:dyDescent="0.2">
      <c r="A84" s="306" t="s">
        <v>389</v>
      </c>
      <c r="B84" s="290"/>
      <c r="C84" s="307" t="e">
        <f>RunSum!#REF!</f>
        <v>#REF!</v>
      </c>
      <c r="D84" s="291"/>
    </row>
    <row r="85" spans="1:5" ht="9.9499999999999993" customHeight="1" x14ac:dyDescent="0.2">
      <c r="A85" s="278"/>
      <c r="B85" s="279"/>
      <c r="C85" s="280"/>
      <c r="D85" s="281"/>
    </row>
    <row r="86" spans="1:5" ht="12.75" customHeight="1" x14ac:dyDescent="0.2">
      <c r="A86" s="282" t="s">
        <v>371</v>
      </c>
      <c r="B86" s="283" t="e">
        <f>RunSum!#REF!</f>
        <v>#REF!</v>
      </c>
      <c r="C86" s="283" t="s">
        <v>372</v>
      </c>
      <c r="D86" s="281"/>
    </row>
    <row r="87" spans="1:5" ht="9.9499999999999993" customHeight="1" x14ac:dyDescent="0.2">
      <c r="A87" s="278"/>
      <c r="B87" s="279"/>
      <c r="C87" s="280"/>
      <c r="D87" s="281"/>
    </row>
    <row r="88" spans="1:5" ht="12.75" customHeight="1" x14ac:dyDescent="0.2">
      <c r="A88" s="282" t="s">
        <v>373</v>
      </c>
      <c r="B88" s="279"/>
      <c r="C88" s="280"/>
      <c r="D88" s="281"/>
    </row>
    <row r="89" spans="1:5" ht="12.75" customHeight="1" x14ac:dyDescent="0.2">
      <c r="A89" s="699" t="s">
        <v>392</v>
      </c>
      <c r="B89" s="698"/>
      <c r="C89" s="698"/>
      <c r="D89" s="700"/>
    </row>
    <row r="90" spans="1:5" ht="12.75" customHeight="1" x14ac:dyDescent="0.2">
      <c r="A90" s="699" t="s">
        <v>375</v>
      </c>
      <c r="B90" s="698"/>
      <c r="C90" s="698"/>
      <c r="D90" s="700"/>
    </row>
    <row r="91" spans="1:5" ht="9.9499999999999993" customHeight="1" x14ac:dyDescent="0.2">
      <c r="A91" s="284"/>
      <c r="B91" s="285"/>
      <c r="C91" s="285"/>
      <c r="D91" s="286"/>
    </row>
    <row r="92" spans="1:5" ht="12.75" customHeight="1" x14ac:dyDescent="0.2">
      <c r="A92" s="282" t="s">
        <v>376</v>
      </c>
      <c r="B92" s="279"/>
      <c r="C92" s="280"/>
      <c r="D92" s="305"/>
      <c r="E92" s="22"/>
    </row>
    <row r="93" spans="1:5" ht="12.75" customHeight="1" x14ac:dyDescent="0.2">
      <c r="A93" s="284" t="s">
        <v>378</v>
      </c>
      <c r="B93" s="285"/>
      <c r="C93" s="279" t="e">
        <f>CONCATENATE(RunSum!#REF!," мм")</f>
        <v>#REF!</v>
      </c>
      <c r="D93" s="287" t="s">
        <v>381</v>
      </c>
    </row>
    <row r="94" spans="1:5" ht="12.75" customHeight="1" x14ac:dyDescent="0.2">
      <c r="A94" s="284" t="s">
        <v>380</v>
      </c>
      <c r="B94" s="285"/>
      <c r="C94" s="279" t="e">
        <f>CONCATENATE(RunSum!#REF!," г/см3")</f>
        <v>#REF!</v>
      </c>
      <c r="D94" s="287" t="s">
        <v>383</v>
      </c>
    </row>
    <row r="95" spans="1:5" ht="12.75" customHeight="1" x14ac:dyDescent="0.2">
      <c r="A95" s="284" t="s">
        <v>382</v>
      </c>
      <c r="B95" s="285"/>
      <c r="C95" s="296" t="e">
        <f>CONCATENATE(RunSum!#REF!," °C")</f>
        <v>#REF!</v>
      </c>
      <c r="D95" s="287"/>
    </row>
    <row r="96" spans="1:5" ht="12.75" customHeight="1" x14ac:dyDescent="0.2">
      <c r="A96" s="284" t="s">
        <v>384</v>
      </c>
      <c r="B96" s="285"/>
      <c r="C96" s="279" t="s">
        <v>390</v>
      </c>
      <c r="D96" s="287"/>
    </row>
    <row r="97" spans="1:5" s="304" customFormat="1" ht="12.75" x14ac:dyDescent="0.2">
      <c r="A97" s="301" t="s">
        <v>385</v>
      </c>
      <c r="B97" s="302"/>
      <c r="C97" s="288" t="e">
        <f>RunSum!#REF!</f>
        <v>#REF!</v>
      </c>
      <c r="D97" s="303"/>
    </row>
    <row r="98" spans="1:5" ht="12.75" customHeight="1" x14ac:dyDescent="0.2">
      <c r="A98" s="284" t="s">
        <v>386</v>
      </c>
      <c r="B98" s="285"/>
      <c r="C98" s="279" t="s">
        <v>391</v>
      </c>
      <c r="D98" s="286"/>
    </row>
    <row r="99" spans="1:5" ht="12.75" customHeight="1" x14ac:dyDescent="0.2">
      <c r="A99" s="284" t="s">
        <v>388</v>
      </c>
      <c r="B99" s="285"/>
      <c r="C99" s="296" t="e">
        <f>CONCATENATE(RunSum!#REF!," ",RunSum!B79)</f>
        <v>#REF!</v>
      </c>
      <c r="D99" s="286"/>
    </row>
    <row r="100" spans="1:5" ht="12.75" customHeight="1" thickBot="1" x14ac:dyDescent="0.25">
      <c r="A100" s="297" t="s">
        <v>389</v>
      </c>
      <c r="B100" s="298"/>
      <c r="C100" s="308" t="e">
        <f>RunSum!#REF!</f>
        <v>#REF!</v>
      </c>
      <c r="D100" s="300"/>
    </row>
    <row r="101" spans="1:5" ht="12.75" customHeight="1" x14ac:dyDescent="0.2">
      <c r="A101" s="285"/>
      <c r="B101" s="285"/>
      <c r="C101" s="279"/>
      <c r="D101" s="285"/>
      <c r="E101" s="30"/>
    </row>
    <row r="102" spans="1:5" ht="12.75" customHeight="1" x14ac:dyDescent="0.2">
      <c r="A102" s="285"/>
      <c r="B102" s="285"/>
      <c r="C102" s="309"/>
      <c r="D102" s="285"/>
      <c r="E102" s="30"/>
    </row>
    <row r="103" spans="1:5" ht="15" customHeight="1" x14ac:dyDescent="0.2">
      <c r="A103" s="310"/>
      <c r="B103" s="311"/>
      <c r="C103" s="310"/>
      <c r="D103" s="312"/>
      <c r="E103" s="30"/>
    </row>
    <row r="104" spans="1:5" ht="7.5" customHeight="1" x14ac:dyDescent="0.2">
      <c r="A104" s="310"/>
      <c r="B104" s="311"/>
      <c r="C104" s="310"/>
      <c r="D104" s="310"/>
      <c r="E104" s="30"/>
    </row>
    <row r="105" spans="1:5" ht="7.5" customHeight="1" x14ac:dyDescent="0.2">
      <c r="A105" s="313"/>
      <c r="B105" s="314"/>
      <c r="C105" s="313"/>
      <c r="D105" s="310"/>
      <c r="E105" s="30"/>
    </row>
    <row r="106" spans="1:5" ht="15" customHeight="1" x14ac:dyDescent="0.2">
      <c r="A106" s="310"/>
      <c r="B106" s="311"/>
      <c r="C106" s="310"/>
      <c r="D106" s="310"/>
      <c r="E106" s="30"/>
    </row>
    <row r="107" spans="1:5" ht="7.5" customHeight="1" x14ac:dyDescent="0.2">
      <c r="A107" s="313"/>
      <c r="B107" s="311"/>
      <c r="C107" s="310"/>
      <c r="D107" s="310"/>
      <c r="E107" s="30"/>
    </row>
    <row r="108" spans="1:5" ht="15" customHeight="1" x14ac:dyDescent="0.2">
      <c r="A108" s="312"/>
      <c r="B108" s="312"/>
      <c r="C108" s="312"/>
      <c r="D108" s="310"/>
      <c r="E108" s="30"/>
    </row>
    <row r="109" spans="1:5" ht="15" customHeight="1" x14ac:dyDescent="0.2">
      <c r="A109" s="312"/>
      <c r="B109" s="312"/>
      <c r="C109" s="312"/>
      <c r="D109" s="312"/>
      <c r="E109" s="30"/>
    </row>
    <row r="110" spans="1:5" ht="15" customHeight="1" x14ac:dyDescent="0.2">
      <c r="A110" s="310"/>
      <c r="B110" s="311"/>
      <c r="C110" s="310"/>
      <c r="D110" s="312"/>
      <c r="E110" s="30"/>
    </row>
    <row r="111" spans="1:5" ht="7.5" customHeight="1" x14ac:dyDescent="0.2">
      <c r="A111" s="313"/>
      <c r="B111" s="311"/>
      <c r="C111" s="310"/>
      <c r="D111" s="310"/>
      <c r="E111" s="30"/>
    </row>
    <row r="112" spans="1:5" ht="15" customHeight="1" x14ac:dyDescent="0.2">
      <c r="A112" s="312"/>
      <c r="B112" s="312"/>
      <c r="C112" s="312"/>
      <c r="D112" s="311"/>
      <c r="E112" s="30"/>
    </row>
    <row r="113" spans="1:5" ht="15" customHeight="1" x14ac:dyDescent="0.2">
      <c r="A113" s="312"/>
      <c r="B113" s="312"/>
      <c r="C113" s="312"/>
      <c r="D113" s="314"/>
      <c r="E113" s="30"/>
    </row>
    <row r="114" spans="1:5" ht="15" customHeight="1" x14ac:dyDescent="0.2">
      <c r="A114" s="312"/>
      <c r="B114" s="312"/>
      <c r="C114" s="312"/>
      <c r="D114" s="314"/>
      <c r="E114" s="30"/>
    </row>
    <row r="115" spans="1:5" ht="15" customHeight="1" x14ac:dyDescent="0.2">
      <c r="A115" s="312"/>
      <c r="B115" s="312"/>
      <c r="C115" s="312"/>
      <c r="D115" s="314"/>
      <c r="E115" s="30"/>
    </row>
    <row r="116" spans="1:5" ht="15" customHeight="1" x14ac:dyDescent="0.2">
      <c r="A116" s="315"/>
      <c r="B116" s="312"/>
      <c r="C116" s="312"/>
      <c r="D116" s="314"/>
      <c r="E116" s="30"/>
    </row>
    <row r="117" spans="1:5" ht="15" customHeight="1" x14ac:dyDescent="0.2">
      <c r="A117" s="312"/>
      <c r="B117" s="312"/>
      <c r="C117" s="312"/>
      <c r="D117" s="314"/>
      <c r="E117" s="30"/>
    </row>
    <row r="118" spans="1:5" ht="15" customHeight="1" x14ac:dyDescent="0.2">
      <c r="A118" s="312"/>
      <c r="B118" s="312"/>
      <c r="C118" s="312"/>
      <c r="D118" s="312"/>
      <c r="E118" s="30"/>
    </row>
    <row r="119" spans="1:5" ht="15" customHeight="1" x14ac:dyDescent="0.2">
      <c r="A119" s="312"/>
      <c r="B119" s="312"/>
      <c r="C119" s="312"/>
      <c r="D119" s="312"/>
      <c r="E119" s="30"/>
    </row>
    <row r="120" spans="1:5" ht="15" customHeight="1" x14ac:dyDescent="0.2">
      <c r="A120" s="312"/>
      <c r="B120" s="312"/>
      <c r="C120" s="316"/>
      <c r="D120" s="312"/>
      <c r="E120" s="30"/>
    </row>
    <row r="121" spans="1:5" ht="15" customHeight="1" x14ac:dyDescent="0.2">
      <c r="A121" s="317"/>
      <c r="B121" s="318"/>
      <c r="C121" s="317"/>
      <c r="D121" s="312"/>
      <c r="E121" s="30"/>
    </row>
    <row r="122" spans="1:5" ht="7.5" customHeight="1" x14ac:dyDescent="0.2">
      <c r="A122" s="317"/>
      <c r="B122" s="318"/>
      <c r="C122" s="317"/>
      <c r="D122" s="317"/>
      <c r="E122" s="30"/>
    </row>
    <row r="123" spans="1:5" ht="7.5" customHeight="1" x14ac:dyDescent="0.2">
      <c r="A123" s="319"/>
      <c r="B123" s="320"/>
      <c r="C123" s="319"/>
      <c r="D123" s="317"/>
      <c r="E123" s="30"/>
    </row>
    <row r="124" spans="1:5" ht="15" customHeight="1" x14ac:dyDescent="0.2">
      <c r="A124" s="317"/>
      <c r="B124" s="318"/>
      <c r="C124" s="317"/>
      <c r="D124" s="317"/>
      <c r="E124" s="30"/>
    </row>
    <row r="125" spans="1:5" ht="7.5" customHeight="1" x14ac:dyDescent="0.2">
      <c r="A125" s="319"/>
      <c r="B125" s="318"/>
      <c r="C125" s="317"/>
      <c r="D125" s="317"/>
      <c r="E125" s="30"/>
    </row>
    <row r="126" spans="1:5" ht="15" customHeight="1" x14ac:dyDescent="0.2">
      <c r="A126" s="321"/>
      <c r="B126" s="321"/>
      <c r="C126" s="321"/>
      <c r="D126" s="317"/>
      <c r="E126" s="30"/>
    </row>
    <row r="127" spans="1:5" ht="15" customHeight="1" x14ac:dyDescent="0.2">
      <c r="A127" s="321"/>
      <c r="B127" s="321"/>
      <c r="C127" s="321"/>
      <c r="D127" s="321"/>
      <c r="E127" s="30"/>
    </row>
    <row r="128" spans="1:5" ht="15" customHeight="1" x14ac:dyDescent="0.2">
      <c r="A128" s="317"/>
      <c r="B128" s="318"/>
      <c r="C128" s="317"/>
      <c r="D128" s="321"/>
      <c r="E128" s="30"/>
    </row>
    <row r="129" spans="1:5" ht="7.5" customHeight="1" x14ac:dyDescent="0.2">
      <c r="A129" s="319"/>
      <c r="B129" s="318"/>
      <c r="C129" s="317"/>
      <c r="D129" s="317"/>
      <c r="E129" s="30"/>
    </row>
    <row r="130" spans="1:5" ht="15" customHeight="1" x14ac:dyDescent="0.2">
      <c r="A130" s="321"/>
      <c r="B130" s="321"/>
      <c r="C130" s="321"/>
      <c r="D130" s="318"/>
      <c r="E130" s="30"/>
    </row>
    <row r="131" spans="1:5" ht="15" customHeight="1" x14ac:dyDescent="0.2">
      <c r="A131" s="321"/>
      <c r="B131" s="321"/>
      <c r="C131" s="321"/>
      <c r="D131" s="320"/>
      <c r="E131" s="30"/>
    </row>
    <row r="132" spans="1:5" ht="15" customHeight="1" x14ac:dyDescent="0.2">
      <c r="A132" s="321"/>
      <c r="B132" s="321"/>
      <c r="C132" s="321"/>
      <c r="D132" s="320"/>
      <c r="E132" s="30"/>
    </row>
    <row r="133" spans="1:5" ht="15" customHeight="1" x14ac:dyDescent="0.2">
      <c r="A133" s="321"/>
      <c r="B133" s="321"/>
      <c r="C133" s="321"/>
      <c r="D133" s="320"/>
      <c r="E133" s="30"/>
    </row>
    <row r="134" spans="1:5" ht="15" customHeight="1" x14ac:dyDescent="0.2">
      <c r="A134" s="322"/>
      <c r="B134" s="321"/>
      <c r="C134" s="321"/>
      <c r="D134" s="320"/>
      <c r="E134" s="30"/>
    </row>
    <row r="135" spans="1:5" ht="15" customHeight="1" x14ac:dyDescent="0.2">
      <c r="A135" s="321"/>
      <c r="B135" s="321"/>
      <c r="C135" s="321"/>
      <c r="D135" s="320"/>
      <c r="E135" s="30"/>
    </row>
    <row r="136" spans="1:5" ht="15" customHeight="1" x14ac:dyDescent="0.2">
      <c r="A136" s="321"/>
      <c r="B136" s="321"/>
      <c r="C136" s="321"/>
      <c r="D136" s="321"/>
      <c r="E136" s="30"/>
    </row>
    <row r="137" spans="1:5" ht="15" customHeight="1" x14ac:dyDescent="0.2">
      <c r="A137" s="321"/>
      <c r="B137" s="321"/>
      <c r="C137" s="321"/>
      <c r="D137" s="321"/>
      <c r="E137" s="30"/>
    </row>
    <row r="138" spans="1:5" ht="15" customHeight="1" x14ac:dyDescent="0.2">
      <c r="A138" s="321"/>
      <c r="B138" s="321"/>
      <c r="C138" s="323"/>
      <c r="D138" s="321"/>
      <c r="E138" s="30"/>
    </row>
    <row r="139" spans="1:5" ht="15" customHeight="1" x14ac:dyDescent="0.2">
      <c r="A139" s="317"/>
      <c r="B139" s="318"/>
      <c r="C139" s="317"/>
      <c r="D139" s="321"/>
      <c r="E139" s="30"/>
    </row>
    <row r="140" spans="1:5" ht="7.5" customHeight="1" x14ac:dyDescent="0.2">
      <c r="A140" s="317"/>
      <c r="B140" s="318"/>
      <c r="C140" s="317"/>
      <c r="D140" s="317"/>
      <c r="E140" s="30"/>
    </row>
    <row r="141" spans="1:5" ht="13.5" customHeight="1" x14ac:dyDescent="0.2">
      <c r="A141" s="319"/>
      <c r="B141" s="320"/>
      <c r="C141" s="319"/>
      <c r="D141" s="317"/>
      <c r="E141" s="30"/>
    </row>
    <row r="142" spans="1:5" ht="13.5" customHeight="1" x14ac:dyDescent="0.2">
      <c r="A142" s="317"/>
      <c r="B142" s="318"/>
      <c r="C142" s="317"/>
      <c r="D142" s="317"/>
      <c r="E142" s="30"/>
    </row>
    <row r="143" spans="1:5" ht="13.5" customHeight="1" x14ac:dyDescent="0.2">
      <c r="A143" s="319"/>
      <c r="B143" s="318"/>
      <c r="C143" s="317"/>
      <c r="D143" s="317"/>
      <c r="E143" s="30"/>
    </row>
    <row r="144" spans="1:5" ht="13.5" customHeight="1" x14ac:dyDescent="0.2">
      <c r="A144" s="321"/>
      <c r="B144" s="321"/>
      <c r="C144" s="321"/>
      <c r="D144" s="317"/>
      <c r="E144" s="30"/>
    </row>
    <row r="145" spans="1:5" ht="13.5" customHeight="1" x14ac:dyDescent="0.2">
      <c r="A145" s="324"/>
      <c r="B145" s="325"/>
      <c r="C145" s="30"/>
      <c r="D145" s="321"/>
      <c r="E145" s="30"/>
    </row>
    <row r="146" spans="1:5" ht="13.5" customHeight="1" x14ac:dyDescent="0.2">
      <c r="A146" s="324"/>
      <c r="B146" s="325"/>
      <c r="C146" s="30"/>
      <c r="D146" s="30"/>
      <c r="E146" s="30"/>
    </row>
    <row r="147" spans="1:5" ht="13.5" customHeight="1" x14ac:dyDescent="0.2">
      <c r="A147" s="324"/>
      <c r="B147" s="325"/>
      <c r="C147" s="30"/>
      <c r="D147" s="30"/>
      <c r="E147" s="30"/>
    </row>
    <row r="148" spans="1:5" ht="13.5" customHeight="1" x14ac:dyDescent="0.2">
      <c r="A148" s="324"/>
      <c r="B148" s="325"/>
      <c r="C148" s="30"/>
      <c r="D148" s="30"/>
      <c r="E148" s="30"/>
    </row>
    <row r="149" spans="1:5" ht="13.5" customHeight="1" x14ac:dyDescent="0.2">
      <c r="A149" s="324"/>
      <c r="B149" s="325"/>
      <c r="C149" s="30"/>
      <c r="D149" s="30"/>
      <c r="E149" s="30"/>
    </row>
    <row r="150" spans="1:5" ht="13.5" customHeight="1" x14ac:dyDescent="0.2">
      <c r="A150" s="324"/>
      <c r="B150" s="325"/>
      <c r="C150" s="30"/>
      <c r="D150" s="30"/>
      <c r="E150" s="30"/>
    </row>
    <row r="151" spans="1:5" ht="13.5" customHeight="1" x14ac:dyDescent="0.2">
      <c r="A151" s="324"/>
      <c r="B151" s="325"/>
      <c r="C151" s="30"/>
      <c r="D151" s="30"/>
      <c r="E151" s="30"/>
    </row>
    <row r="152" spans="1:5" ht="13.5" customHeight="1" x14ac:dyDescent="0.2">
      <c r="A152" s="324"/>
      <c r="B152" s="325"/>
      <c r="C152" s="30"/>
      <c r="D152" s="30"/>
      <c r="E152" s="30"/>
    </row>
    <row r="153" spans="1:5" ht="13.5" customHeight="1" x14ac:dyDescent="0.2">
      <c r="A153" s="324"/>
      <c r="B153" s="325"/>
      <c r="C153" s="30"/>
      <c r="D153" s="30"/>
      <c r="E153" s="30"/>
    </row>
    <row r="154" spans="1:5" ht="13.5" customHeight="1" x14ac:dyDescent="0.2">
      <c r="A154" s="324"/>
      <c r="B154" s="325"/>
      <c r="C154" s="30"/>
      <c r="D154" s="30"/>
      <c r="E154" s="30"/>
    </row>
    <row r="415" spans="3:3" ht="13.5" customHeight="1" x14ac:dyDescent="0.2">
      <c r="C415" s="346">
        <v>0</v>
      </c>
    </row>
  </sheetData>
  <mergeCells count="19">
    <mergeCell ref="A89:D89"/>
    <mergeCell ref="A90:D90"/>
    <mergeCell ref="A32:B32"/>
    <mergeCell ref="A40:D40"/>
    <mergeCell ref="A57:D57"/>
    <mergeCell ref="A58:D58"/>
    <mergeCell ref="A73:D73"/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332" customWidth="1"/>
    <col min="2" max="2" width="35.42578125" style="332" customWidth="1"/>
    <col min="3" max="4" width="10" style="332" customWidth="1"/>
    <col min="5" max="5" width="0.140625" style="332" hidden="1" customWidth="1"/>
    <col min="6" max="6" width="19.85546875" style="332" customWidth="1"/>
    <col min="7" max="16384" width="9.140625" style="332"/>
  </cols>
  <sheetData>
    <row r="1" spans="1:7" s="328" customFormat="1" ht="25.5" customHeight="1" x14ac:dyDescent="0.2">
      <c r="A1" s="707" t="s">
        <v>399</v>
      </c>
      <c r="B1" s="708"/>
      <c r="C1" s="708"/>
      <c r="D1" s="708"/>
      <c r="E1" s="708"/>
      <c r="F1" s="709"/>
      <c r="G1" s="327"/>
    </row>
    <row r="2" spans="1:7" s="328" customFormat="1" ht="12.75" customHeight="1" x14ac:dyDescent="0.2">
      <c r="A2" s="710" t="s">
        <v>318</v>
      </c>
      <c r="B2" s="649" t="s">
        <v>319</v>
      </c>
      <c r="C2" s="650" t="s">
        <v>320</v>
      </c>
      <c r="D2" s="650"/>
      <c r="E2" s="650"/>
      <c r="F2" s="711" t="s">
        <v>321</v>
      </c>
      <c r="G2" s="327"/>
    </row>
    <row r="3" spans="1:7" s="328" customFormat="1" ht="25.5" customHeight="1" x14ac:dyDescent="0.2">
      <c r="A3" s="710"/>
      <c r="B3" s="649"/>
      <c r="C3" s="266" t="s">
        <v>441</v>
      </c>
      <c r="D3" s="712" t="s">
        <v>442</v>
      </c>
      <c r="E3" s="712"/>
      <c r="F3" s="711"/>
      <c r="G3" s="327"/>
    </row>
    <row r="4" spans="1:7" s="330" customFormat="1" ht="12.75" customHeight="1" x14ac:dyDescent="0.2">
      <c r="A4" s="379" t="s">
        <v>324</v>
      </c>
      <c r="B4" s="377" t="s">
        <v>402</v>
      </c>
      <c r="C4" s="377">
        <v>1</v>
      </c>
      <c r="D4" s="706">
        <v>0.1</v>
      </c>
      <c r="E4" s="706"/>
      <c r="F4" s="378" t="s">
        <v>434</v>
      </c>
      <c r="G4" s="329"/>
    </row>
    <row r="5" spans="1:7" s="330" customFormat="1" ht="12.75" customHeight="1" x14ac:dyDescent="0.2">
      <c r="A5" s="379" t="s">
        <v>328</v>
      </c>
      <c r="B5" s="377" t="s">
        <v>329</v>
      </c>
      <c r="C5" s="377">
        <v>1</v>
      </c>
      <c r="D5" s="706">
        <v>0.1</v>
      </c>
      <c r="E5" s="706"/>
      <c r="F5" s="378" t="s">
        <v>434</v>
      </c>
      <c r="G5" s="329"/>
    </row>
    <row r="6" spans="1:7" s="330" customFormat="1" ht="12.75" customHeight="1" x14ac:dyDescent="0.2">
      <c r="A6" s="379" t="s">
        <v>435</v>
      </c>
      <c r="B6" s="377" t="s">
        <v>331</v>
      </c>
      <c r="C6" s="377">
        <v>1</v>
      </c>
      <c r="D6" s="706">
        <v>0.1</v>
      </c>
      <c r="E6" s="706"/>
      <c r="F6" s="378" t="s">
        <v>443</v>
      </c>
      <c r="G6" s="329"/>
    </row>
    <row r="7" spans="1:7" s="330" customFormat="1" ht="12.75" hidden="1" customHeight="1" x14ac:dyDescent="0.2">
      <c r="A7" s="379" t="s">
        <v>340</v>
      </c>
      <c r="B7" s="376" t="s">
        <v>406</v>
      </c>
      <c r="C7" s="377">
        <v>1</v>
      </c>
      <c r="D7" s="706">
        <v>0.1</v>
      </c>
      <c r="E7" s="706"/>
      <c r="F7" s="378" t="s">
        <v>436</v>
      </c>
      <c r="G7" s="329"/>
    </row>
    <row r="8" spans="1:7" ht="12.75" hidden="1" customHeight="1" x14ac:dyDescent="0.2">
      <c r="A8" s="379" t="s">
        <v>342</v>
      </c>
      <c r="B8" s="376" t="s">
        <v>407</v>
      </c>
      <c r="C8" s="377">
        <v>1</v>
      </c>
      <c r="D8" s="377">
        <v>0.1</v>
      </c>
      <c r="E8" s="377"/>
      <c r="F8" s="378" t="s">
        <v>436</v>
      </c>
      <c r="G8" s="331"/>
    </row>
    <row r="9" spans="1:7" ht="12.75" hidden="1" customHeight="1" x14ac:dyDescent="0.2">
      <c r="A9" s="379" t="s">
        <v>344</v>
      </c>
      <c r="B9" s="376" t="s">
        <v>408</v>
      </c>
      <c r="C9" s="377">
        <v>1</v>
      </c>
      <c r="D9" s="377">
        <v>0.1</v>
      </c>
      <c r="E9" s="377"/>
      <c r="F9" s="378" t="s">
        <v>436</v>
      </c>
      <c r="G9" s="331"/>
    </row>
    <row r="10" spans="1:7" ht="12.75" customHeight="1" x14ac:dyDescent="0.2">
      <c r="A10" s="375" t="s">
        <v>335</v>
      </c>
      <c r="B10" s="376" t="s">
        <v>457</v>
      </c>
      <c r="C10" s="376">
        <v>1</v>
      </c>
      <c r="D10" s="376">
        <v>0.1</v>
      </c>
      <c r="E10" s="376"/>
      <c r="F10" s="378" t="s">
        <v>443</v>
      </c>
      <c r="G10" s="331"/>
    </row>
    <row r="11" spans="1:7" ht="12.75" hidden="1" customHeight="1" x14ac:dyDescent="0.2">
      <c r="A11" s="375" t="s">
        <v>337</v>
      </c>
      <c r="B11" s="376" t="s">
        <v>410</v>
      </c>
      <c r="C11" s="376">
        <v>1</v>
      </c>
      <c r="D11" s="376">
        <v>0.1</v>
      </c>
      <c r="E11" s="376"/>
      <c r="F11" s="378" t="s">
        <v>436</v>
      </c>
      <c r="G11" s="331"/>
    </row>
    <row r="12" spans="1:7" ht="12.75" customHeight="1" x14ac:dyDescent="0.2">
      <c r="A12" s="375" t="s">
        <v>338</v>
      </c>
      <c r="B12" s="376" t="s">
        <v>458</v>
      </c>
      <c r="C12" s="376">
        <v>1</v>
      </c>
      <c r="D12" s="376">
        <v>0.1</v>
      </c>
      <c r="E12" s="376"/>
      <c r="F12" s="378" t="s">
        <v>443</v>
      </c>
      <c r="G12" s="331"/>
    </row>
    <row r="13" spans="1:7" ht="12.75" hidden="1" customHeight="1" x14ac:dyDescent="0.2">
      <c r="A13" s="375" t="s">
        <v>352</v>
      </c>
      <c r="B13" s="376" t="s">
        <v>412</v>
      </c>
      <c r="C13" s="376">
        <v>1</v>
      </c>
      <c r="D13" s="376">
        <v>0.1</v>
      </c>
      <c r="E13" s="376"/>
      <c r="F13" s="378" t="s">
        <v>436</v>
      </c>
      <c r="G13" s="331"/>
    </row>
    <row r="14" spans="1:7" ht="12.75" hidden="1" customHeight="1" x14ac:dyDescent="0.2">
      <c r="A14" s="375" t="s">
        <v>354</v>
      </c>
      <c r="B14" s="376" t="s">
        <v>413</v>
      </c>
      <c r="C14" s="376">
        <v>1</v>
      </c>
      <c r="D14" s="376">
        <v>0.1</v>
      </c>
      <c r="E14" s="376"/>
      <c r="F14" s="378" t="s">
        <v>436</v>
      </c>
      <c r="G14" s="331"/>
    </row>
    <row r="15" spans="1:7" ht="12.75" hidden="1" customHeight="1" x14ac:dyDescent="0.2">
      <c r="A15" s="375" t="s">
        <v>356</v>
      </c>
      <c r="B15" s="376" t="s">
        <v>414</v>
      </c>
      <c r="C15" s="376">
        <v>1</v>
      </c>
      <c r="D15" s="376">
        <v>0.1</v>
      </c>
      <c r="E15" s="376"/>
      <c r="F15" s="378" t="s">
        <v>436</v>
      </c>
      <c r="G15" s="331"/>
    </row>
    <row r="16" spans="1:7" x14ac:dyDescent="0.2">
      <c r="A16" s="375" t="s">
        <v>346</v>
      </c>
      <c r="B16" s="376" t="s">
        <v>459</v>
      </c>
      <c r="C16" s="376">
        <v>1</v>
      </c>
      <c r="D16" s="376">
        <v>0.1</v>
      </c>
      <c r="E16" s="376"/>
      <c r="F16" s="378" t="s">
        <v>443</v>
      </c>
      <c r="G16" s="331"/>
    </row>
    <row r="17" spans="1:7" ht="12.75" hidden="1" customHeight="1" x14ac:dyDescent="0.2">
      <c r="A17" s="375" t="s">
        <v>348</v>
      </c>
      <c r="B17" s="376" t="s">
        <v>416</v>
      </c>
      <c r="C17" s="376">
        <v>1</v>
      </c>
      <c r="D17" s="376">
        <v>0.1</v>
      </c>
      <c r="E17" s="376"/>
      <c r="F17" s="378" t="s">
        <v>436</v>
      </c>
      <c r="G17" s="331"/>
    </row>
    <row r="18" spans="1:7" ht="12.75" hidden="1" customHeight="1" x14ac:dyDescent="0.2">
      <c r="A18" s="375" t="s">
        <v>350</v>
      </c>
      <c r="B18" s="376" t="s">
        <v>417</v>
      </c>
      <c r="C18" s="376">
        <v>1</v>
      </c>
      <c r="D18" s="376">
        <v>0.1</v>
      </c>
      <c r="E18" s="376"/>
      <c r="F18" s="378" t="s">
        <v>436</v>
      </c>
      <c r="G18" s="331"/>
    </row>
    <row r="19" spans="1:7" ht="12.75" customHeight="1" x14ac:dyDescent="0.2">
      <c r="A19" s="375" t="s">
        <v>358</v>
      </c>
      <c r="B19" s="376" t="s">
        <v>149</v>
      </c>
      <c r="C19" s="376">
        <v>1</v>
      </c>
      <c r="D19" s="376">
        <v>0.1</v>
      </c>
      <c r="E19" s="376"/>
      <c r="F19" s="378" t="s">
        <v>443</v>
      </c>
      <c r="G19" s="331"/>
    </row>
    <row r="20" spans="1:7" ht="12.75" customHeight="1" x14ac:dyDescent="0.2">
      <c r="A20" s="375" t="s">
        <v>363</v>
      </c>
      <c r="B20" s="376" t="s">
        <v>364</v>
      </c>
      <c r="C20" s="376">
        <v>1</v>
      </c>
      <c r="D20" s="376">
        <v>0.1</v>
      </c>
      <c r="E20" s="376"/>
      <c r="F20" s="378" t="s">
        <v>443</v>
      </c>
      <c r="G20" s="331"/>
    </row>
    <row r="21" spans="1:7" ht="12.75" customHeight="1" x14ac:dyDescent="0.2">
      <c r="A21" s="375" t="s">
        <v>365</v>
      </c>
      <c r="B21" s="376" t="s">
        <v>366</v>
      </c>
      <c r="C21" s="376">
        <v>1</v>
      </c>
      <c r="D21" s="376">
        <v>0.1</v>
      </c>
      <c r="E21" s="376"/>
      <c r="F21" s="378" t="s">
        <v>443</v>
      </c>
      <c r="G21" s="331"/>
    </row>
    <row r="22" spans="1:7" ht="12.75" customHeight="1" x14ac:dyDescent="0.2">
      <c r="A22" s="375" t="s">
        <v>367</v>
      </c>
      <c r="B22" s="376" t="s">
        <v>368</v>
      </c>
      <c r="C22" s="376">
        <v>1</v>
      </c>
      <c r="D22" s="376">
        <v>0.1</v>
      </c>
      <c r="E22" s="376"/>
      <c r="F22" s="378" t="s">
        <v>443</v>
      </c>
      <c r="G22" s="331"/>
    </row>
    <row r="23" spans="1:7" ht="12.75" customHeight="1" thickBot="1" x14ac:dyDescent="0.25">
      <c r="A23" s="373" t="s">
        <v>333</v>
      </c>
      <c r="B23" s="374" t="s">
        <v>334</v>
      </c>
      <c r="C23" s="374">
        <v>1</v>
      </c>
      <c r="D23" s="374">
        <v>0.1</v>
      </c>
      <c r="E23" s="374"/>
      <c r="F23" s="381" t="s">
        <v>443</v>
      </c>
      <c r="G23" s="331"/>
    </row>
    <row r="24" spans="1:7" ht="11.25" customHeight="1" x14ac:dyDescent="0.2">
      <c r="A24" s="382" t="s">
        <v>361</v>
      </c>
      <c r="B24" s="383" t="s">
        <v>362</v>
      </c>
      <c r="C24" s="383">
        <v>1</v>
      </c>
      <c r="D24" s="383">
        <v>0.1</v>
      </c>
      <c r="E24" s="383"/>
      <c r="F24" s="384" t="s">
        <v>443</v>
      </c>
    </row>
    <row r="25" spans="1:7" ht="11.25" customHeight="1" x14ac:dyDescent="0.2">
      <c r="A25" s="375" t="s">
        <v>359</v>
      </c>
      <c r="B25" s="376" t="s">
        <v>360</v>
      </c>
      <c r="C25" s="376">
        <v>1</v>
      </c>
      <c r="D25" s="376">
        <v>0.1</v>
      </c>
      <c r="E25" s="376"/>
      <c r="F25" s="377" t="s">
        <v>443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332">
        <v>1</v>
      </c>
    </row>
    <row r="83" spans="1:1" ht="6.75" customHeight="1" x14ac:dyDescent="0.2">
      <c r="A83" s="332">
        <v>2</v>
      </c>
    </row>
    <row r="84" spans="1:1" ht="6.75" customHeight="1" x14ac:dyDescent="0.2">
      <c r="A84" s="33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73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97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98</v>
      </c>
      <c r="C3" s="123"/>
      <c r="D3" s="365" t="str">
        <f>'Header Info'!B3</f>
        <v>4828st03#74 Горизонтальный ствол3</v>
      </c>
    </row>
    <row r="4" spans="1:7" s="121" customFormat="1" ht="18" x14ac:dyDescent="0.25">
      <c r="A4" s="363"/>
      <c r="B4" s="126" t="s">
        <v>99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100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101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Image'!AX23</f>
        <v>1:200 MD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91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73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97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98</v>
      </c>
      <c r="C3" s="123"/>
      <c r="D3" s="365" t="str">
        <f>'Header Info'!B3</f>
        <v>4828st03#74 Горизонтальный ствол3</v>
      </c>
    </row>
    <row r="4" spans="1:7" s="121" customFormat="1" ht="18" x14ac:dyDescent="0.25">
      <c r="A4" s="363"/>
      <c r="B4" s="126" t="s">
        <v>99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100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101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(MD_SSTVD)'!AX23</f>
        <v>1:1000 MD, 1:200 MD, 1:200 SSTVD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91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108" customWidth="1"/>
    <col min="2" max="2" width="49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317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318</v>
      </c>
      <c r="B2" s="649" t="s">
        <v>319</v>
      </c>
      <c r="C2" s="650" t="s">
        <v>320</v>
      </c>
      <c r="D2" s="650"/>
      <c r="E2" s="649" t="s">
        <v>321</v>
      </c>
    </row>
    <row r="3" spans="1:5" s="265" customFormat="1" ht="27" customHeight="1" x14ac:dyDescent="0.2">
      <c r="A3" s="649"/>
      <c r="B3" s="649"/>
      <c r="C3" s="266" t="s">
        <v>322</v>
      </c>
      <c r="D3" s="266" t="s">
        <v>323</v>
      </c>
      <c r="E3" s="649"/>
    </row>
    <row r="4" spans="1:5" s="269" customFormat="1" ht="12.75" customHeight="1" x14ac:dyDescent="0.2">
      <c r="A4" s="267" t="s">
        <v>324</v>
      </c>
      <c r="B4" s="268" t="s">
        <v>325</v>
      </c>
      <c r="C4" s="243" t="s">
        <v>326</v>
      </c>
      <c r="D4" s="243" t="s">
        <v>326</v>
      </c>
      <c r="E4" s="267" t="s">
        <v>327</v>
      </c>
    </row>
    <row r="5" spans="1:5" s="269" customFormat="1" ht="12.75" customHeight="1" x14ac:dyDescent="0.2">
      <c r="A5" s="273" t="s">
        <v>333</v>
      </c>
      <c r="B5" s="274" t="s">
        <v>334</v>
      </c>
      <c r="C5" s="272">
        <v>1</v>
      </c>
      <c r="D5" s="272">
        <v>0.1</v>
      </c>
      <c r="E5" s="267" t="s">
        <v>332</v>
      </c>
    </row>
    <row r="6" spans="1:5" s="269" customFormat="1" ht="12.75" customHeight="1" x14ac:dyDescent="0.2">
      <c r="A6" s="273" t="s">
        <v>365</v>
      </c>
      <c r="B6" s="274" t="s">
        <v>366</v>
      </c>
      <c r="C6" s="272">
        <v>1</v>
      </c>
      <c r="D6" s="272">
        <v>0.1</v>
      </c>
      <c r="E6" s="267" t="s">
        <v>332</v>
      </c>
    </row>
    <row r="7" spans="1:5" s="269" customFormat="1" ht="12.75" customHeight="1" x14ac:dyDescent="0.2">
      <c r="A7" s="273" t="s">
        <v>393</v>
      </c>
      <c r="B7" s="271" t="s">
        <v>394</v>
      </c>
      <c r="C7" s="272">
        <v>1</v>
      </c>
      <c r="D7" s="272">
        <v>0.1</v>
      </c>
      <c r="E7" s="267" t="s">
        <v>332</v>
      </c>
    </row>
    <row r="8" spans="1:5" s="269" customFormat="1" ht="12.75" customHeight="1" x14ac:dyDescent="0.2">
      <c r="A8" s="273" t="s">
        <v>395</v>
      </c>
      <c r="B8" s="274" t="s">
        <v>396</v>
      </c>
      <c r="C8" s="272">
        <v>1</v>
      </c>
      <c r="D8" s="272">
        <v>0.1</v>
      </c>
      <c r="E8" s="267" t="s">
        <v>332</v>
      </c>
    </row>
    <row r="9" spans="1:5" s="275" customFormat="1" ht="12.75" customHeight="1" x14ac:dyDescent="0.2">
      <c r="A9" s="273" t="s">
        <v>397</v>
      </c>
      <c r="B9" s="274" t="s">
        <v>398</v>
      </c>
      <c r="C9" s="272">
        <v>1</v>
      </c>
      <c r="D9" s="272">
        <v>0.1</v>
      </c>
      <c r="E9" s="267" t="s">
        <v>332</v>
      </c>
    </row>
    <row r="10" spans="1:5" s="275" customFormat="1" ht="12.75" customHeight="1" x14ac:dyDescent="0.2">
      <c r="A10" s="273"/>
      <c r="B10" s="274"/>
      <c r="C10" s="272"/>
      <c r="D10" s="272"/>
      <c r="E10" s="267"/>
    </row>
    <row r="11" spans="1:5" s="275" customFormat="1" ht="12.75" customHeight="1" x14ac:dyDescent="0.2">
      <c r="A11" s="273"/>
      <c r="B11" s="274"/>
      <c r="C11" s="272"/>
      <c r="D11" s="272"/>
      <c r="E11" s="267"/>
    </row>
    <row r="12" spans="1:5" s="275" customFormat="1" ht="12.75" customHeight="1" x14ac:dyDescent="0.2">
      <c r="A12" s="272"/>
      <c r="B12" s="274"/>
      <c r="C12" s="273"/>
      <c r="D12" s="273"/>
      <c r="E12" s="267"/>
    </row>
    <row r="13" spans="1:5" s="275" customFormat="1" ht="12.75" customHeight="1" x14ac:dyDescent="0.2">
      <c r="A13" s="272"/>
      <c r="B13" s="274"/>
      <c r="C13" s="273"/>
      <c r="D13" s="273"/>
      <c r="E13" s="267"/>
    </row>
    <row r="14" spans="1:5" s="275" customFormat="1" ht="12.75" customHeight="1" x14ac:dyDescent="0.2">
      <c r="A14" s="272"/>
      <c r="B14" s="274"/>
      <c r="C14" s="273"/>
      <c r="D14" s="273"/>
      <c r="E14" s="267"/>
    </row>
    <row r="15" spans="1:5" s="275" customFormat="1" ht="12.75" customHeight="1" x14ac:dyDescent="0.2">
      <c r="A15" s="273"/>
      <c r="B15" s="274"/>
      <c r="C15" s="273"/>
      <c r="D15" s="273"/>
      <c r="E15" s="267"/>
    </row>
    <row r="16" spans="1:5" s="275" customFormat="1" ht="12.75" customHeight="1" x14ac:dyDescent="0.2">
      <c r="A16" s="272"/>
      <c r="B16" s="274"/>
      <c r="C16" s="273"/>
      <c r="D16" s="273"/>
      <c r="E16" s="267"/>
    </row>
    <row r="17" spans="1:5" s="275" customFormat="1" ht="12.75" customHeight="1" x14ac:dyDescent="0.2">
      <c r="A17" s="272"/>
      <c r="B17" s="274"/>
      <c r="C17" s="273"/>
      <c r="D17" s="273"/>
      <c r="E17" s="267"/>
    </row>
    <row r="18" spans="1:5" s="275" customFormat="1" ht="12.75" customHeight="1" x14ac:dyDescent="0.2">
      <c r="A18" s="273"/>
      <c r="B18" s="274"/>
      <c r="C18" s="273"/>
      <c r="D18" s="273"/>
      <c r="E18" s="267"/>
    </row>
    <row r="19" spans="1:5" s="275" customFormat="1" x14ac:dyDescent="0.2">
      <c r="A19" s="272"/>
      <c r="B19" s="274"/>
      <c r="C19" s="273"/>
      <c r="D19" s="273"/>
      <c r="E19" s="267"/>
    </row>
    <row r="20" spans="1:5" s="275" customFormat="1" x14ac:dyDescent="0.2">
      <c r="A20" s="272"/>
      <c r="B20" s="274"/>
      <c r="C20" s="273"/>
      <c r="D20" s="273"/>
      <c r="E20" s="267"/>
    </row>
    <row r="21" spans="1:5" s="275" customFormat="1" ht="12.75" customHeight="1" x14ac:dyDescent="0.2">
      <c r="A21" s="273"/>
      <c r="B21" s="274"/>
      <c r="C21" s="272"/>
      <c r="D21" s="272"/>
      <c r="E21" s="267"/>
    </row>
    <row r="22" spans="1:5" s="275" customFormat="1" ht="12.75" customHeight="1" x14ac:dyDescent="0.2">
      <c r="A22" s="270"/>
      <c r="B22" s="274"/>
      <c r="C22" s="273"/>
      <c r="D22" s="273"/>
      <c r="E22" s="267"/>
    </row>
    <row r="23" spans="1:5" s="275" customFormat="1" ht="12.75" customHeight="1" x14ac:dyDescent="0.2">
      <c r="A23" s="273"/>
      <c r="B23" s="274"/>
      <c r="C23" s="272"/>
      <c r="D23" s="272"/>
      <c r="E23" s="267"/>
    </row>
    <row r="24" spans="1:5" s="275" customFormat="1" ht="12.75" customHeight="1" x14ac:dyDescent="0.2">
      <c r="A24" s="273"/>
      <c r="B24" s="274"/>
      <c r="C24" s="272"/>
      <c r="D24" s="272"/>
      <c r="E24" s="267"/>
    </row>
    <row r="25" spans="1:5" s="275" customFormat="1" ht="12.75" customHeight="1" x14ac:dyDescent="0.2">
      <c r="A25" s="273"/>
      <c r="B25" s="274"/>
      <c r="C25" s="272"/>
      <c r="D25" s="272"/>
      <c r="E25" s="267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76" t="s">
        <v>346</v>
      </c>
      <c r="B29" s="276" t="s">
        <v>347</v>
      </c>
      <c r="C29" s="276">
        <v>1</v>
      </c>
      <c r="D29" s="276">
        <v>0.1</v>
      </c>
      <c r="E29" s="277" t="s">
        <v>332</v>
      </c>
    </row>
    <row r="30" spans="1:5" ht="15" customHeight="1" x14ac:dyDescent="0.2">
      <c r="A30" s="267" t="s">
        <v>335</v>
      </c>
      <c r="B30" s="276" t="s">
        <v>336</v>
      </c>
      <c r="C30" s="276">
        <v>1</v>
      </c>
      <c r="D30" s="276">
        <v>0.1</v>
      </c>
      <c r="E30" s="277" t="s">
        <v>332</v>
      </c>
    </row>
    <row r="31" spans="1:5" ht="15" customHeight="1" x14ac:dyDescent="0.2">
      <c r="A31" s="267" t="s">
        <v>338</v>
      </c>
      <c r="B31" s="276" t="s">
        <v>339</v>
      </c>
      <c r="C31" s="276">
        <v>1</v>
      </c>
      <c r="D31" s="276">
        <v>0.1</v>
      </c>
      <c r="E31" s="277" t="s">
        <v>332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108">
        <v>1</v>
      </c>
    </row>
    <row r="81" spans="1:1" ht="6.75" customHeight="1" x14ac:dyDescent="0.2">
      <c r="A81" s="108">
        <v>2</v>
      </c>
    </row>
    <row r="82" spans="1:1" ht="6.75" customHeight="1" x14ac:dyDescent="0.2">
      <c r="A82" s="108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332" customWidth="1"/>
    <col min="2" max="15" width="1.42578125" style="332" customWidth="1"/>
    <col min="16" max="16" width="1.140625" style="332" customWidth="1"/>
    <col min="17" max="26" width="1.42578125" style="332" customWidth="1"/>
    <col min="27" max="27" width="1.85546875" style="332" customWidth="1"/>
    <col min="28" max="28" width="2" style="332" customWidth="1"/>
    <col min="29" max="30" width="2.85546875" style="332" customWidth="1"/>
    <col min="31" max="37" width="1.42578125" style="332" customWidth="1"/>
    <col min="38" max="38" width="1.85546875" style="332" customWidth="1"/>
    <col min="39" max="43" width="1.42578125" style="332" customWidth="1"/>
    <col min="44" max="44" width="1.28515625" style="332" customWidth="1"/>
    <col min="45" max="45" width="0.140625" style="332" hidden="1" customWidth="1"/>
    <col min="46" max="50" width="1.42578125" style="332" customWidth="1"/>
    <col min="51" max="51" width="1.5703125" style="332" customWidth="1"/>
    <col min="52" max="53" width="1.85546875" style="332" customWidth="1"/>
    <col min="54" max="60" width="1.42578125" style="332" customWidth="1"/>
    <col min="61" max="61" width="1.7109375" style="332" customWidth="1"/>
    <col min="62" max="69" width="1.42578125" style="332" customWidth="1"/>
    <col min="70" max="70" width="1.5703125" style="332" customWidth="1"/>
    <col min="71" max="16384" width="9.140625" style="332"/>
  </cols>
  <sheetData>
    <row r="1" spans="1:71" s="328" customFormat="1" ht="33.75" customHeight="1" x14ac:dyDescent="0.2">
      <c r="A1" s="707" t="s">
        <v>399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L1" s="708"/>
      <c r="M1" s="708"/>
      <c r="N1" s="708"/>
      <c r="O1" s="708"/>
      <c r="P1" s="708"/>
      <c r="Q1" s="708"/>
      <c r="R1" s="708"/>
      <c r="S1" s="708"/>
      <c r="T1" s="708"/>
      <c r="U1" s="708"/>
      <c r="V1" s="708"/>
      <c r="W1" s="708"/>
      <c r="X1" s="708"/>
      <c r="Y1" s="708"/>
      <c r="Z1" s="708"/>
      <c r="AA1" s="708"/>
      <c r="AB1" s="708"/>
      <c r="AC1" s="708"/>
      <c r="AD1" s="708"/>
      <c r="AE1" s="708"/>
      <c r="AF1" s="708"/>
      <c r="AG1" s="708"/>
      <c r="AH1" s="708"/>
      <c r="AI1" s="708"/>
      <c r="AJ1" s="708"/>
      <c r="AK1" s="708"/>
      <c r="AL1" s="708"/>
      <c r="AM1" s="708"/>
      <c r="AN1" s="708"/>
      <c r="AO1" s="708"/>
      <c r="AP1" s="708"/>
      <c r="AQ1" s="708"/>
      <c r="AR1" s="708"/>
      <c r="AS1" s="708"/>
      <c r="AT1" s="708"/>
      <c r="AU1" s="708"/>
      <c r="AV1" s="708"/>
      <c r="AW1" s="708"/>
      <c r="AX1" s="708"/>
      <c r="AY1" s="708"/>
      <c r="AZ1" s="708"/>
      <c r="BA1" s="708"/>
      <c r="BB1" s="708"/>
      <c r="BC1" s="708"/>
      <c r="BD1" s="708"/>
      <c r="BE1" s="708"/>
      <c r="BF1" s="708"/>
      <c r="BG1" s="708"/>
      <c r="BH1" s="708"/>
      <c r="BI1" s="708"/>
      <c r="BJ1" s="708"/>
      <c r="BK1" s="708"/>
      <c r="BL1" s="708"/>
      <c r="BM1" s="708"/>
      <c r="BN1" s="708"/>
      <c r="BO1" s="708"/>
      <c r="BP1" s="708"/>
      <c r="BQ1" s="708"/>
      <c r="BR1" s="709"/>
      <c r="BS1" s="327"/>
    </row>
    <row r="2" spans="1:71" s="328" customFormat="1" ht="17.25" customHeight="1" x14ac:dyDescent="0.2">
      <c r="A2" s="713" t="s">
        <v>318</v>
      </c>
      <c r="B2" s="714"/>
      <c r="C2" s="714"/>
      <c r="D2" s="714"/>
      <c r="E2" s="714"/>
      <c r="F2" s="714"/>
      <c r="G2" s="714"/>
      <c r="H2" s="714"/>
      <c r="I2" s="714" t="s">
        <v>319</v>
      </c>
      <c r="J2" s="714"/>
      <c r="K2" s="714"/>
      <c r="L2" s="714"/>
      <c r="M2" s="714"/>
      <c r="N2" s="714"/>
      <c r="O2" s="714"/>
      <c r="P2" s="714"/>
      <c r="Q2" s="714"/>
      <c r="R2" s="714"/>
      <c r="S2" s="714"/>
      <c r="T2" s="714"/>
      <c r="U2" s="714"/>
      <c r="V2" s="714"/>
      <c r="W2" s="714"/>
      <c r="X2" s="714"/>
      <c r="Y2" s="714"/>
      <c r="Z2" s="714"/>
      <c r="AA2" s="714"/>
      <c r="AB2" s="714"/>
      <c r="AC2" s="714"/>
      <c r="AD2" s="714"/>
      <c r="AE2" s="715" t="s">
        <v>320</v>
      </c>
      <c r="AF2" s="714"/>
      <c r="AG2" s="714"/>
      <c r="AH2" s="714"/>
      <c r="AI2" s="714"/>
      <c r="AJ2" s="714"/>
      <c r="AK2" s="714"/>
      <c r="AL2" s="715"/>
      <c r="AM2" s="714"/>
      <c r="AN2" s="714"/>
      <c r="AO2" s="714"/>
      <c r="AP2" s="714"/>
      <c r="AQ2" s="714"/>
      <c r="AR2" s="714"/>
      <c r="AS2" s="715"/>
      <c r="AT2" s="714" t="s">
        <v>321</v>
      </c>
      <c r="AU2" s="714"/>
      <c r="AV2" s="714"/>
      <c r="AW2" s="714"/>
      <c r="AX2" s="715"/>
      <c r="AY2" s="714"/>
      <c r="AZ2" s="714"/>
      <c r="BA2" s="714"/>
      <c r="BB2" s="714"/>
      <c r="BC2" s="714"/>
      <c r="BD2" s="714"/>
      <c r="BE2" s="715"/>
      <c r="BF2" s="714"/>
      <c r="BG2" s="714"/>
      <c r="BH2" s="714"/>
      <c r="BI2" s="714"/>
      <c r="BJ2" s="714"/>
      <c r="BK2" s="714"/>
      <c r="BL2" s="715"/>
      <c r="BM2" s="714"/>
      <c r="BN2" s="714"/>
      <c r="BO2" s="714"/>
      <c r="BP2" s="714"/>
      <c r="BQ2" s="714"/>
      <c r="BR2" s="716"/>
      <c r="BS2" s="327"/>
    </row>
    <row r="3" spans="1:71" s="328" customFormat="1" ht="27.75" customHeight="1" x14ac:dyDescent="0.2">
      <c r="A3" s="713"/>
      <c r="B3" s="714"/>
      <c r="C3" s="714"/>
      <c r="D3" s="714"/>
      <c r="E3" s="714"/>
      <c r="F3" s="714"/>
      <c r="G3" s="714"/>
      <c r="H3" s="714"/>
      <c r="I3" s="714"/>
      <c r="J3" s="714"/>
      <c r="K3" s="714"/>
      <c r="L3" s="714"/>
      <c r="M3" s="714"/>
      <c r="N3" s="714"/>
      <c r="O3" s="714"/>
      <c r="P3" s="714"/>
      <c r="Q3" s="714"/>
      <c r="R3" s="714"/>
      <c r="S3" s="714"/>
      <c r="T3" s="714"/>
      <c r="U3" s="714"/>
      <c r="V3" s="714"/>
      <c r="W3" s="714"/>
      <c r="X3" s="714"/>
      <c r="Y3" s="714"/>
      <c r="Z3" s="714"/>
      <c r="AA3" s="714"/>
      <c r="AB3" s="714"/>
      <c r="AC3" s="714"/>
      <c r="AD3" s="714"/>
      <c r="AE3" s="717" t="s">
        <v>400</v>
      </c>
      <c r="AF3" s="718"/>
      <c r="AG3" s="718"/>
      <c r="AH3" s="718"/>
      <c r="AI3" s="718"/>
      <c r="AJ3" s="718"/>
      <c r="AK3" s="718"/>
      <c r="AL3" s="719" t="s">
        <v>401</v>
      </c>
      <c r="AM3" s="720"/>
      <c r="AN3" s="720"/>
      <c r="AO3" s="720"/>
      <c r="AP3" s="720"/>
      <c r="AQ3" s="720"/>
      <c r="AR3" s="720"/>
      <c r="AS3" s="719"/>
      <c r="AT3" s="714"/>
      <c r="AU3" s="714"/>
      <c r="AV3" s="714"/>
      <c r="AW3" s="714"/>
      <c r="AX3" s="715"/>
      <c r="AY3" s="714"/>
      <c r="AZ3" s="714"/>
      <c r="BA3" s="714"/>
      <c r="BB3" s="714"/>
      <c r="BC3" s="714"/>
      <c r="BD3" s="714"/>
      <c r="BE3" s="715"/>
      <c r="BF3" s="714"/>
      <c r="BG3" s="714"/>
      <c r="BH3" s="714"/>
      <c r="BI3" s="714"/>
      <c r="BJ3" s="714"/>
      <c r="BK3" s="714"/>
      <c r="BL3" s="715"/>
      <c r="BM3" s="714"/>
      <c r="BN3" s="714"/>
      <c r="BO3" s="714"/>
      <c r="BP3" s="714"/>
      <c r="BQ3" s="714"/>
      <c r="BR3" s="716"/>
      <c r="BS3" s="327"/>
    </row>
    <row r="4" spans="1:71" s="330" customFormat="1" ht="12.75" customHeight="1" x14ac:dyDescent="0.2">
      <c r="A4" s="721" t="s">
        <v>324</v>
      </c>
      <c r="B4" s="706"/>
      <c r="C4" s="706"/>
      <c r="D4" s="706"/>
      <c r="E4" s="706"/>
      <c r="F4" s="706"/>
      <c r="G4" s="706"/>
      <c r="H4" s="706"/>
      <c r="I4" s="706" t="s">
        <v>402</v>
      </c>
      <c r="J4" s="706"/>
      <c r="K4" s="706"/>
      <c r="L4" s="706"/>
      <c r="M4" s="706"/>
      <c r="N4" s="706"/>
      <c r="O4" s="706"/>
      <c r="P4" s="706"/>
      <c r="Q4" s="706"/>
      <c r="R4" s="706"/>
      <c r="S4" s="706"/>
      <c r="T4" s="706"/>
      <c r="U4" s="706"/>
      <c r="V4" s="706"/>
      <c r="W4" s="706"/>
      <c r="X4" s="706"/>
      <c r="Y4" s="706"/>
      <c r="Z4" s="706"/>
      <c r="AA4" s="706"/>
      <c r="AB4" s="706"/>
      <c r="AC4" s="706"/>
      <c r="AD4" s="706"/>
      <c r="AE4" s="706">
        <v>1</v>
      </c>
      <c r="AF4" s="706"/>
      <c r="AG4" s="706"/>
      <c r="AH4" s="706"/>
      <c r="AI4" s="706"/>
      <c r="AJ4" s="706"/>
      <c r="AK4" s="706"/>
      <c r="AL4" s="706">
        <v>0.1</v>
      </c>
      <c r="AM4" s="706"/>
      <c r="AN4" s="706"/>
      <c r="AO4" s="706"/>
      <c r="AP4" s="706"/>
      <c r="AQ4" s="706"/>
      <c r="AR4" s="706"/>
      <c r="AS4" s="706"/>
      <c r="AT4" s="706"/>
      <c r="AU4" s="706"/>
      <c r="AV4" s="706"/>
      <c r="AW4" s="706"/>
      <c r="AX4" s="706"/>
      <c r="AY4" s="706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R4" s="723"/>
      <c r="BS4" s="329"/>
    </row>
    <row r="5" spans="1:71" s="330" customFormat="1" ht="12.75" customHeight="1" x14ac:dyDescent="0.2">
      <c r="A5" s="721" t="s">
        <v>403</v>
      </c>
      <c r="B5" s="706"/>
      <c r="C5" s="706"/>
      <c r="D5" s="706"/>
      <c r="E5" s="706"/>
      <c r="F5" s="706"/>
      <c r="G5" s="706"/>
      <c r="H5" s="706"/>
      <c r="I5" s="706" t="s">
        <v>404</v>
      </c>
      <c r="J5" s="706"/>
      <c r="K5" s="706"/>
      <c r="L5" s="706"/>
      <c r="M5" s="706"/>
      <c r="N5" s="706"/>
      <c r="O5" s="706"/>
      <c r="P5" s="706"/>
      <c r="Q5" s="706"/>
      <c r="R5" s="706"/>
      <c r="S5" s="706"/>
      <c r="T5" s="706"/>
      <c r="U5" s="706"/>
      <c r="V5" s="706"/>
      <c r="W5" s="706"/>
      <c r="X5" s="706"/>
      <c r="Y5" s="706"/>
      <c r="Z5" s="706"/>
      <c r="AA5" s="706"/>
      <c r="AB5" s="706"/>
      <c r="AC5" s="706"/>
      <c r="AD5" s="706"/>
      <c r="AE5" s="722" t="s">
        <v>326</v>
      </c>
      <c r="AF5" s="722"/>
      <c r="AG5" s="722"/>
      <c r="AH5" s="722"/>
      <c r="AI5" s="722"/>
      <c r="AJ5" s="722"/>
      <c r="AK5" s="722"/>
      <c r="AL5" s="722" t="s">
        <v>326</v>
      </c>
      <c r="AM5" s="722"/>
      <c r="AN5" s="722"/>
      <c r="AO5" s="722"/>
      <c r="AP5" s="722"/>
      <c r="AQ5" s="722"/>
      <c r="AR5" s="722"/>
      <c r="AS5" s="722"/>
      <c r="AT5" s="706"/>
      <c r="AU5" s="706"/>
      <c r="AV5" s="706"/>
      <c r="AW5" s="706"/>
      <c r="AX5" s="706"/>
      <c r="AY5" s="706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R5" s="723"/>
      <c r="BS5" s="329"/>
    </row>
    <row r="6" spans="1:71" s="330" customFormat="1" ht="12.75" customHeight="1" x14ac:dyDescent="0.2">
      <c r="A6" s="721" t="s">
        <v>405</v>
      </c>
      <c r="B6" s="706"/>
      <c r="C6" s="706"/>
      <c r="D6" s="706"/>
      <c r="E6" s="706"/>
      <c r="F6" s="706"/>
      <c r="G6" s="706"/>
      <c r="H6" s="706"/>
      <c r="I6" s="706" t="s">
        <v>331</v>
      </c>
      <c r="J6" s="706"/>
      <c r="K6" s="706"/>
      <c r="L6" s="706"/>
      <c r="M6" s="706"/>
      <c r="N6" s="706"/>
      <c r="O6" s="706"/>
      <c r="P6" s="706"/>
      <c r="Q6" s="706"/>
      <c r="R6" s="706"/>
      <c r="S6" s="706"/>
      <c r="T6" s="706"/>
      <c r="U6" s="706"/>
      <c r="V6" s="706"/>
      <c r="W6" s="706"/>
      <c r="X6" s="706"/>
      <c r="Y6" s="706"/>
      <c r="Z6" s="706"/>
      <c r="AA6" s="706"/>
      <c r="AB6" s="706"/>
      <c r="AC6" s="706"/>
      <c r="AD6" s="706"/>
      <c r="AE6" s="706">
        <v>1</v>
      </c>
      <c r="AF6" s="706"/>
      <c r="AG6" s="706"/>
      <c r="AH6" s="706"/>
      <c r="AI6" s="706"/>
      <c r="AJ6" s="706"/>
      <c r="AK6" s="706"/>
      <c r="AL6" s="706">
        <v>0.1</v>
      </c>
      <c r="AM6" s="706"/>
      <c r="AN6" s="706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R6" s="723"/>
      <c r="BS6" s="329"/>
    </row>
    <row r="7" spans="1:71" s="330" customFormat="1" ht="12.75" customHeight="1" x14ac:dyDescent="0.2">
      <c r="A7" s="721" t="s">
        <v>340</v>
      </c>
      <c r="B7" s="706"/>
      <c r="C7" s="706"/>
      <c r="D7" s="706"/>
      <c r="E7" s="706"/>
      <c r="F7" s="706"/>
      <c r="G7" s="706"/>
      <c r="H7" s="706"/>
      <c r="I7" s="724" t="s">
        <v>406</v>
      </c>
      <c r="J7" s="724"/>
      <c r="K7" s="724"/>
      <c r="L7" s="724"/>
      <c r="M7" s="724"/>
      <c r="N7" s="724"/>
      <c r="O7" s="724"/>
      <c r="P7" s="724"/>
      <c r="Q7" s="724"/>
      <c r="R7" s="724"/>
      <c r="S7" s="724"/>
      <c r="T7" s="724"/>
      <c r="U7" s="724"/>
      <c r="V7" s="724"/>
      <c r="W7" s="724"/>
      <c r="X7" s="724"/>
      <c r="Y7" s="724"/>
      <c r="Z7" s="724"/>
      <c r="AA7" s="724"/>
      <c r="AB7" s="724"/>
      <c r="AC7" s="724"/>
      <c r="AD7" s="724"/>
      <c r="AE7" s="706">
        <v>1</v>
      </c>
      <c r="AF7" s="706"/>
      <c r="AG7" s="706"/>
      <c r="AH7" s="706"/>
      <c r="AI7" s="706"/>
      <c r="AJ7" s="706"/>
      <c r="AK7" s="706"/>
      <c r="AL7" s="706">
        <v>0.1</v>
      </c>
      <c r="AM7" s="706"/>
      <c r="AN7" s="706"/>
      <c r="AO7" s="706"/>
      <c r="AP7" s="706"/>
      <c r="AQ7" s="706"/>
      <c r="AR7" s="706"/>
      <c r="AS7" s="706"/>
      <c r="AT7" s="706"/>
      <c r="AU7" s="725"/>
      <c r="AV7" s="725"/>
      <c r="AW7" s="725"/>
      <c r="AX7" s="725"/>
      <c r="AY7" s="725"/>
      <c r="AZ7" s="725"/>
      <c r="BA7" s="725"/>
      <c r="BB7" s="725"/>
      <c r="BC7" s="725"/>
      <c r="BD7" s="725"/>
      <c r="BE7" s="725"/>
      <c r="BF7" s="725"/>
      <c r="BG7" s="725"/>
      <c r="BH7" s="725"/>
      <c r="BI7" s="725"/>
      <c r="BJ7" s="725"/>
      <c r="BK7" s="725"/>
      <c r="BL7" s="725"/>
      <c r="BM7" s="725"/>
      <c r="BN7" s="725"/>
      <c r="BO7" s="725"/>
      <c r="BP7" s="725"/>
      <c r="BQ7" s="725"/>
      <c r="BR7" s="726"/>
      <c r="BS7" s="329"/>
    </row>
    <row r="8" spans="1:71" ht="12.75" customHeight="1" x14ac:dyDescent="0.2">
      <c r="A8" s="721" t="s">
        <v>342</v>
      </c>
      <c r="B8" s="706"/>
      <c r="C8" s="706"/>
      <c r="D8" s="706"/>
      <c r="E8" s="706"/>
      <c r="F8" s="706"/>
      <c r="G8" s="706"/>
      <c r="H8" s="706"/>
      <c r="I8" s="724" t="s">
        <v>407</v>
      </c>
      <c r="J8" s="724"/>
      <c r="K8" s="724"/>
      <c r="L8" s="724"/>
      <c r="M8" s="724"/>
      <c r="N8" s="724"/>
      <c r="O8" s="724"/>
      <c r="P8" s="724"/>
      <c r="Q8" s="724"/>
      <c r="R8" s="724"/>
      <c r="S8" s="724"/>
      <c r="T8" s="724"/>
      <c r="U8" s="724"/>
      <c r="V8" s="724"/>
      <c r="W8" s="724"/>
      <c r="X8" s="724"/>
      <c r="Y8" s="724"/>
      <c r="Z8" s="724"/>
      <c r="AA8" s="724"/>
      <c r="AB8" s="724"/>
      <c r="AC8" s="724"/>
      <c r="AD8" s="724"/>
      <c r="AE8" s="706">
        <v>1</v>
      </c>
      <c r="AF8" s="706"/>
      <c r="AG8" s="706"/>
      <c r="AH8" s="706"/>
      <c r="AI8" s="706"/>
      <c r="AJ8" s="706"/>
      <c r="AK8" s="706"/>
      <c r="AL8" s="706">
        <v>0.1</v>
      </c>
      <c r="AM8" s="706"/>
      <c r="AN8" s="706"/>
      <c r="AO8" s="706"/>
      <c r="AP8" s="706"/>
      <c r="AQ8" s="706"/>
      <c r="AR8" s="706"/>
      <c r="AS8" s="272"/>
      <c r="AT8" s="706"/>
      <c r="AU8" s="725"/>
      <c r="AV8" s="725"/>
      <c r="AW8" s="725"/>
      <c r="AX8" s="725"/>
      <c r="AY8" s="725"/>
      <c r="AZ8" s="725"/>
      <c r="BA8" s="725"/>
      <c r="BB8" s="725"/>
      <c r="BC8" s="725"/>
      <c r="BD8" s="725"/>
      <c r="BE8" s="725"/>
      <c r="BF8" s="725"/>
      <c r="BG8" s="725"/>
      <c r="BH8" s="725"/>
      <c r="BI8" s="725"/>
      <c r="BJ8" s="725"/>
      <c r="BK8" s="725"/>
      <c r="BL8" s="725"/>
      <c r="BM8" s="725"/>
      <c r="BN8" s="725"/>
      <c r="BO8" s="725"/>
      <c r="BP8" s="725"/>
      <c r="BQ8" s="725"/>
      <c r="BR8" s="726"/>
      <c r="BS8" s="331"/>
    </row>
    <row r="9" spans="1:71" ht="12.75" customHeight="1" x14ac:dyDescent="0.2">
      <c r="A9" s="721" t="s">
        <v>344</v>
      </c>
      <c r="B9" s="706"/>
      <c r="C9" s="706"/>
      <c r="D9" s="706"/>
      <c r="E9" s="706"/>
      <c r="F9" s="706"/>
      <c r="G9" s="706"/>
      <c r="H9" s="706"/>
      <c r="I9" s="724" t="s">
        <v>408</v>
      </c>
      <c r="J9" s="724"/>
      <c r="K9" s="724"/>
      <c r="L9" s="724"/>
      <c r="M9" s="724"/>
      <c r="N9" s="724"/>
      <c r="O9" s="724"/>
      <c r="P9" s="724"/>
      <c r="Q9" s="724"/>
      <c r="R9" s="724"/>
      <c r="S9" s="724"/>
      <c r="T9" s="724"/>
      <c r="U9" s="724"/>
      <c r="V9" s="724"/>
      <c r="W9" s="724"/>
      <c r="X9" s="724"/>
      <c r="Y9" s="724"/>
      <c r="Z9" s="724"/>
      <c r="AA9" s="724"/>
      <c r="AB9" s="724"/>
      <c r="AC9" s="724"/>
      <c r="AD9" s="724"/>
      <c r="AE9" s="706">
        <v>1</v>
      </c>
      <c r="AF9" s="706"/>
      <c r="AG9" s="706"/>
      <c r="AH9" s="706"/>
      <c r="AI9" s="706"/>
      <c r="AJ9" s="706"/>
      <c r="AK9" s="706"/>
      <c r="AL9" s="706">
        <v>0.1</v>
      </c>
      <c r="AM9" s="706"/>
      <c r="AN9" s="706"/>
      <c r="AO9" s="706"/>
      <c r="AP9" s="706"/>
      <c r="AQ9" s="706"/>
      <c r="AR9" s="706"/>
      <c r="AS9" s="272"/>
      <c r="AT9" s="706"/>
      <c r="AU9" s="725"/>
      <c r="AV9" s="725"/>
      <c r="AW9" s="725"/>
      <c r="AX9" s="725"/>
      <c r="AY9" s="725"/>
      <c r="AZ9" s="725"/>
      <c r="BA9" s="725"/>
      <c r="BB9" s="725"/>
      <c r="BC9" s="725"/>
      <c r="BD9" s="725"/>
      <c r="BE9" s="725"/>
      <c r="BF9" s="725"/>
      <c r="BG9" s="725"/>
      <c r="BH9" s="725"/>
      <c r="BI9" s="725"/>
      <c r="BJ9" s="725"/>
      <c r="BK9" s="725"/>
      <c r="BL9" s="725"/>
      <c r="BM9" s="725"/>
      <c r="BN9" s="725"/>
      <c r="BO9" s="725"/>
      <c r="BP9" s="725"/>
      <c r="BQ9" s="725"/>
      <c r="BR9" s="726"/>
      <c r="BS9" s="331"/>
    </row>
    <row r="10" spans="1:71" ht="12.75" customHeight="1" x14ac:dyDescent="0.2">
      <c r="A10" s="727" t="s">
        <v>335</v>
      </c>
      <c r="B10" s="724"/>
      <c r="C10" s="724"/>
      <c r="D10" s="724"/>
      <c r="E10" s="724"/>
      <c r="F10" s="724"/>
      <c r="G10" s="724"/>
      <c r="H10" s="724"/>
      <c r="I10" s="724" t="s">
        <v>409</v>
      </c>
      <c r="J10" s="724"/>
      <c r="K10" s="724"/>
      <c r="L10" s="724"/>
      <c r="M10" s="724"/>
      <c r="N10" s="724"/>
      <c r="O10" s="724"/>
      <c r="P10" s="724"/>
      <c r="Q10" s="724"/>
      <c r="R10" s="724"/>
      <c r="S10" s="724"/>
      <c r="T10" s="724"/>
      <c r="U10" s="724"/>
      <c r="V10" s="724"/>
      <c r="W10" s="724"/>
      <c r="X10" s="724"/>
      <c r="Y10" s="724"/>
      <c r="Z10" s="724"/>
      <c r="AA10" s="724"/>
      <c r="AB10" s="724"/>
      <c r="AC10" s="724"/>
      <c r="AD10" s="724"/>
      <c r="AE10" s="724">
        <v>1</v>
      </c>
      <c r="AF10" s="724"/>
      <c r="AG10" s="724"/>
      <c r="AH10" s="724"/>
      <c r="AI10" s="724"/>
      <c r="AJ10" s="724"/>
      <c r="AK10" s="724"/>
      <c r="AL10" s="724">
        <v>0.1</v>
      </c>
      <c r="AM10" s="724"/>
      <c r="AN10" s="724"/>
      <c r="AO10" s="724"/>
      <c r="AP10" s="724"/>
      <c r="AQ10" s="724"/>
      <c r="AR10" s="724"/>
      <c r="AS10" s="273"/>
      <c r="AT10" s="724"/>
      <c r="AU10" s="725"/>
      <c r="AV10" s="725"/>
      <c r="AW10" s="725"/>
      <c r="AX10" s="725"/>
      <c r="AY10" s="725"/>
      <c r="AZ10" s="725"/>
      <c r="BA10" s="725"/>
      <c r="BB10" s="725"/>
      <c r="BC10" s="725"/>
      <c r="BD10" s="725"/>
      <c r="BE10" s="725"/>
      <c r="BF10" s="725"/>
      <c r="BG10" s="725"/>
      <c r="BH10" s="725"/>
      <c r="BI10" s="725"/>
      <c r="BJ10" s="725"/>
      <c r="BK10" s="725"/>
      <c r="BL10" s="725"/>
      <c r="BM10" s="725"/>
      <c r="BN10" s="725"/>
      <c r="BO10" s="725"/>
      <c r="BP10" s="725"/>
      <c r="BQ10" s="725"/>
      <c r="BR10" s="726"/>
      <c r="BS10" s="331"/>
    </row>
    <row r="11" spans="1:71" ht="12.75" customHeight="1" x14ac:dyDescent="0.2">
      <c r="A11" s="727" t="s">
        <v>337</v>
      </c>
      <c r="B11" s="724"/>
      <c r="C11" s="724"/>
      <c r="D11" s="724"/>
      <c r="E11" s="724"/>
      <c r="F11" s="724"/>
      <c r="G11" s="724"/>
      <c r="H11" s="724"/>
      <c r="I11" s="724" t="s">
        <v>410</v>
      </c>
      <c r="J11" s="724"/>
      <c r="K11" s="724"/>
      <c r="L11" s="724"/>
      <c r="M11" s="724"/>
      <c r="N11" s="724"/>
      <c r="O11" s="724"/>
      <c r="P11" s="724"/>
      <c r="Q11" s="724"/>
      <c r="R11" s="724"/>
      <c r="S11" s="724"/>
      <c r="T11" s="724"/>
      <c r="U11" s="724"/>
      <c r="V11" s="724"/>
      <c r="W11" s="724"/>
      <c r="X11" s="724"/>
      <c r="Y11" s="724"/>
      <c r="Z11" s="724"/>
      <c r="AA11" s="724"/>
      <c r="AB11" s="724"/>
      <c r="AC11" s="724"/>
      <c r="AD11" s="724"/>
      <c r="AE11" s="724">
        <v>1</v>
      </c>
      <c r="AF11" s="724"/>
      <c r="AG11" s="724"/>
      <c r="AH11" s="724"/>
      <c r="AI11" s="724"/>
      <c r="AJ11" s="724"/>
      <c r="AK11" s="724"/>
      <c r="AL11" s="724">
        <v>0.1</v>
      </c>
      <c r="AM11" s="724"/>
      <c r="AN11" s="724"/>
      <c r="AO11" s="724"/>
      <c r="AP11" s="724"/>
      <c r="AQ11" s="724"/>
      <c r="AR11" s="724"/>
      <c r="AS11" s="273"/>
      <c r="AT11" s="724"/>
      <c r="AU11" s="725"/>
      <c r="AV11" s="725"/>
      <c r="AW11" s="725"/>
      <c r="AX11" s="725"/>
      <c r="AY11" s="725"/>
      <c r="AZ11" s="725"/>
      <c r="BA11" s="725"/>
      <c r="BB11" s="725"/>
      <c r="BC11" s="725"/>
      <c r="BD11" s="725"/>
      <c r="BE11" s="725"/>
      <c r="BF11" s="725"/>
      <c r="BG11" s="725"/>
      <c r="BH11" s="725"/>
      <c r="BI11" s="725"/>
      <c r="BJ11" s="725"/>
      <c r="BK11" s="725"/>
      <c r="BL11" s="725"/>
      <c r="BM11" s="725"/>
      <c r="BN11" s="725"/>
      <c r="BO11" s="725"/>
      <c r="BP11" s="725"/>
      <c r="BQ11" s="725"/>
      <c r="BR11" s="726"/>
      <c r="BS11" s="331"/>
    </row>
    <row r="12" spans="1:71" ht="12.75" customHeight="1" x14ac:dyDescent="0.2">
      <c r="A12" s="727" t="s">
        <v>338</v>
      </c>
      <c r="B12" s="724"/>
      <c r="C12" s="724"/>
      <c r="D12" s="724"/>
      <c r="E12" s="724"/>
      <c r="F12" s="724"/>
      <c r="G12" s="724"/>
      <c r="H12" s="724"/>
      <c r="I12" s="724" t="s">
        <v>411</v>
      </c>
      <c r="J12" s="724"/>
      <c r="K12" s="724"/>
      <c r="L12" s="724"/>
      <c r="M12" s="724"/>
      <c r="N12" s="724"/>
      <c r="O12" s="724"/>
      <c r="P12" s="724"/>
      <c r="Q12" s="724"/>
      <c r="R12" s="724"/>
      <c r="S12" s="724"/>
      <c r="T12" s="724"/>
      <c r="U12" s="724"/>
      <c r="V12" s="724"/>
      <c r="W12" s="724"/>
      <c r="X12" s="724"/>
      <c r="Y12" s="724"/>
      <c r="Z12" s="724"/>
      <c r="AA12" s="724"/>
      <c r="AB12" s="724"/>
      <c r="AC12" s="724"/>
      <c r="AD12" s="724"/>
      <c r="AE12" s="724">
        <v>1</v>
      </c>
      <c r="AF12" s="724"/>
      <c r="AG12" s="724"/>
      <c r="AH12" s="724"/>
      <c r="AI12" s="724"/>
      <c r="AJ12" s="724"/>
      <c r="AK12" s="724"/>
      <c r="AL12" s="724">
        <v>0.1</v>
      </c>
      <c r="AM12" s="724"/>
      <c r="AN12" s="724"/>
      <c r="AO12" s="724"/>
      <c r="AP12" s="724"/>
      <c r="AQ12" s="724"/>
      <c r="AR12" s="724"/>
      <c r="AS12" s="273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6"/>
      <c r="BQ12" s="706"/>
      <c r="BR12" s="723"/>
      <c r="BS12" s="331"/>
    </row>
    <row r="13" spans="1:71" ht="12.75" customHeight="1" x14ac:dyDescent="0.2">
      <c r="A13" s="727" t="s">
        <v>352</v>
      </c>
      <c r="B13" s="724"/>
      <c r="C13" s="724"/>
      <c r="D13" s="724"/>
      <c r="E13" s="724"/>
      <c r="F13" s="724"/>
      <c r="G13" s="724"/>
      <c r="H13" s="724"/>
      <c r="I13" s="724" t="s">
        <v>412</v>
      </c>
      <c r="J13" s="724"/>
      <c r="K13" s="724"/>
      <c r="L13" s="724"/>
      <c r="M13" s="724"/>
      <c r="N13" s="724"/>
      <c r="O13" s="724"/>
      <c r="P13" s="724"/>
      <c r="Q13" s="724"/>
      <c r="R13" s="724"/>
      <c r="S13" s="724"/>
      <c r="T13" s="724"/>
      <c r="U13" s="724"/>
      <c r="V13" s="724"/>
      <c r="W13" s="724"/>
      <c r="X13" s="724"/>
      <c r="Y13" s="724"/>
      <c r="Z13" s="724"/>
      <c r="AA13" s="724"/>
      <c r="AB13" s="724"/>
      <c r="AC13" s="724"/>
      <c r="AD13" s="724"/>
      <c r="AE13" s="724">
        <v>1</v>
      </c>
      <c r="AF13" s="724"/>
      <c r="AG13" s="724"/>
      <c r="AH13" s="724"/>
      <c r="AI13" s="724"/>
      <c r="AJ13" s="724"/>
      <c r="AK13" s="724"/>
      <c r="AL13" s="724">
        <v>0.1</v>
      </c>
      <c r="AM13" s="724"/>
      <c r="AN13" s="724"/>
      <c r="AO13" s="724"/>
      <c r="AP13" s="724"/>
      <c r="AQ13" s="724"/>
      <c r="AR13" s="724"/>
      <c r="AS13" s="273"/>
      <c r="AT13" s="724"/>
      <c r="AU13" s="725"/>
      <c r="AV13" s="725"/>
      <c r="AW13" s="725"/>
      <c r="AX13" s="725"/>
      <c r="AY13" s="725"/>
      <c r="AZ13" s="725"/>
      <c r="BA13" s="725"/>
      <c r="BB13" s="725"/>
      <c r="BC13" s="725"/>
      <c r="BD13" s="725"/>
      <c r="BE13" s="725"/>
      <c r="BF13" s="725"/>
      <c r="BG13" s="725"/>
      <c r="BH13" s="725"/>
      <c r="BI13" s="725"/>
      <c r="BJ13" s="725"/>
      <c r="BK13" s="725"/>
      <c r="BL13" s="725"/>
      <c r="BM13" s="725"/>
      <c r="BN13" s="725"/>
      <c r="BO13" s="725"/>
      <c r="BP13" s="725"/>
      <c r="BQ13" s="725"/>
      <c r="BR13" s="726"/>
      <c r="BS13" s="331"/>
    </row>
    <row r="14" spans="1:71" ht="12.75" customHeight="1" x14ac:dyDescent="0.2">
      <c r="A14" s="727" t="s">
        <v>354</v>
      </c>
      <c r="B14" s="724"/>
      <c r="C14" s="724"/>
      <c r="D14" s="724"/>
      <c r="E14" s="724"/>
      <c r="F14" s="724"/>
      <c r="G14" s="724"/>
      <c r="H14" s="724"/>
      <c r="I14" s="724" t="s">
        <v>413</v>
      </c>
      <c r="J14" s="724"/>
      <c r="K14" s="724"/>
      <c r="L14" s="724"/>
      <c r="M14" s="724"/>
      <c r="N14" s="724"/>
      <c r="O14" s="724"/>
      <c r="P14" s="724"/>
      <c r="Q14" s="724"/>
      <c r="R14" s="724"/>
      <c r="S14" s="724"/>
      <c r="T14" s="724"/>
      <c r="U14" s="724"/>
      <c r="V14" s="724"/>
      <c r="W14" s="724"/>
      <c r="X14" s="724"/>
      <c r="Y14" s="724"/>
      <c r="Z14" s="724"/>
      <c r="AA14" s="724"/>
      <c r="AB14" s="724"/>
      <c r="AC14" s="724"/>
      <c r="AD14" s="724"/>
      <c r="AE14" s="724">
        <v>1</v>
      </c>
      <c r="AF14" s="724"/>
      <c r="AG14" s="724"/>
      <c r="AH14" s="724"/>
      <c r="AI14" s="724"/>
      <c r="AJ14" s="724"/>
      <c r="AK14" s="724"/>
      <c r="AL14" s="724">
        <v>0.1</v>
      </c>
      <c r="AM14" s="724"/>
      <c r="AN14" s="724"/>
      <c r="AO14" s="724"/>
      <c r="AP14" s="724"/>
      <c r="AQ14" s="724"/>
      <c r="AR14" s="724"/>
      <c r="AS14" s="273"/>
      <c r="AT14" s="724"/>
      <c r="AU14" s="725"/>
      <c r="AV14" s="725"/>
      <c r="AW14" s="725"/>
      <c r="AX14" s="725"/>
      <c r="AY14" s="725"/>
      <c r="AZ14" s="725"/>
      <c r="BA14" s="725"/>
      <c r="BB14" s="725"/>
      <c r="BC14" s="725"/>
      <c r="BD14" s="725"/>
      <c r="BE14" s="725"/>
      <c r="BF14" s="725"/>
      <c r="BG14" s="725"/>
      <c r="BH14" s="725"/>
      <c r="BI14" s="725"/>
      <c r="BJ14" s="725"/>
      <c r="BK14" s="725"/>
      <c r="BL14" s="725"/>
      <c r="BM14" s="725"/>
      <c r="BN14" s="725"/>
      <c r="BO14" s="725"/>
      <c r="BP14" s="725"/>
      <c r="BQ14" s="725"/>
      <c r="BR14" s="726"/>
      <c r="BS14" s="331"/>
    </row>
    <row r="15" spans="1:71" ht="12.75" customHeight="1" x14ac:dyDescent="0.2">
      <c r="A15" s="727" t="s">
        <v>356</v>
      </c>
      <c r="B15" s="724"/>
      <c r="C15" s="724"/>
      <c r="D15" s="724"/>
      <c r="E15" s="724"/>
      <c r="F15" s="724"/>
      <c r="G15" s="724"/>
      <c r="H15" s="724"/>
      <c r="I15" s="724" t="s">
        <v>414</v>
      </c>
      <c r="J15" s="724"/>
      <c r="K15" s="724"/>
      <c r="L15" s="724"/>
      <c r="M15" s="724"/>
      <c r="N15" s="724"/>
      <c r="O15" s="724"/>
      <c r="P15" s="724"/>
      <c r="Q15" s="724"/>
      <c r="R15" s="724"/>
      <c r="S15" s="724"/>
      <c r="T15" s="724"/>
      <c r="U15" s="724"/>
      <c r="V15" s="724"/>
      <c r="W15" s="724"/>
      <c r="X15" s="724"/>
      <c r="Y15" s="724"/>
      <c r="Z15" s="724"/>
      <c r="AA15" s="724"/>
      <c r="AB15" s="724"/>
      <c r="AC15" s="724"/>
      <c r="AD15" s="724"/>
      <c r="AE15" s="724">
        <v>1</v>
      </c>
      <c r="AF15" s="724"/>
      <c r="AG15" s="724"/>
      <c r="AH15" s="724"/>
      <c r="AI15" s="724"/>
      <c r="AJ15" s="724"/>
      <c r="AK15" s="724"/>
      <c r="AL15" s="724">
        <v>0.1</v>
      </c>
      <c r="AM15" s="724"/>
      <c r="AN15" s="724"/>
      <c r="AO15" s="724"/>
      <c r="AP15" s="724"/>
      <c r="AQ15" s="724"/>
      <c r="AR15" s="724"/>
      <c r="AS15" s="273"/>
      <c r="AT15" s="724"/>
      <c r="AU15" s="725"/>
      <c r="AV15" s="725"/>
      <c r="AW15" s="725"/>
      <c r="AX15" s="725"/>
      <c r="AY15" s="725"/>
      <c r="AZ15" s="725"/>
      <c r="BA15" s="725"/>
      <c r="BB15" s="725"/>
      <c r="BC15" s="725"/>
      <c r="BD15" s="725"/>
      <c r="BE15" s="725"/>
      <c r="BF15" s="725"/>
      <c r="BG15" s="725"/>
      <c r="BH15" s="725"/>
      <c r="BI15" s="725"/>
      <c r="BJ15" s="725"/>
      <c r="BK15" s="725"/>
      <c r="BL15" s="725"/>
      <c r="BM15" s="725"/>
      <c r="BN15" s="725"/>
      <c r="BO15" s="725"/>
      <c r="BP15" s="725"/>
      <c r="BQ15" s="725"/>
      <c r="BR15" s="726"/>
      <c r="BS15" s="331"/>
    </row>
    <row r="16" spans="1:71" ht="12.75" customHeight="1" x14ac:dyDescent="0.2">
      <c r="A16" s="727" t="s">
        <v>346</v>
      </c>
      <c r="B16" s="724"/>
      <c r="C16" s="724"/>
      <c r="D16" s="724"/>
      <c r="E16" s="724"/>
      <c r="F16" s="724"/>
      <c r="G16" s="724"/>
      <c r="H16" s="724"/>
      <c r="I16" s="724" t="s">
        <v>415</v>
      </c>
      <c r="J16" s="724"/>
      <c r="K16" s="724"/>
      <c r="L16" s="724"/>
      <c r="M16" s="724"/>
      <c r="N16" s="724"/>
      <c r="O16" s="724"/>
      <c r="P16" s="724"/>
      <c r="Q16" s="724"/>
      <c r="R16" s="724"/>
      <c r="S16" s="724"/>
      <c r="T16" s="724"/>
      <c r="U16" s="724"/>
      <c r="V16" s="724"/>
      <c r="W16" s="724"/>
      <c r="X16" s="724"/>
      <c r="Y16" s="724"/>
      <c r="Z16" s="724"/>
      <c r="AA16" s="724"/>
      <c r="AB16" s="724"/>
      <c r="AC16" s="724"/>
      <c r="AD16" s="724"/>
      <c r="AE16" s="724">
        <v>1</v>
      </c>
      <c r="AF16" s="724"/>
      <c r="AG16" s="724"/>
      <c r="AH16" s="724"/>
      <c r="AI16" s="724"/>
      <c r="AJ16" s="724"/>
      <c r="AK16" s="724"/>
      <c r="AL16" s="724">
        <v>0.1</v>
      </c>
      <c r="AM16" s="724"/>
      <c r="AN16" s="724"/>
      <c r="AO16" s="724"/>
      <c r="AP16" s="724"/>
      <c r="AQ16" s="724"/>
      <c r="AR16" s="724"/>
      <c r="AS16" s="273"/>
      <c r="AT16" s="724"/>
      <c r="AU16" s="725"/>
      <c r="AV16" s="725"/>
      <c r="AW16" s="725"/>
      <c r="AX16" s="725"/>
      <c r="AY16" s="725"/>
      <c r="AZ16" s="725"/>
      <c r="BA16" s="725"/>
      <c r="BB16" s="725"/>
      <c r="BC16" s="725"/>
      <c r="BD16" s="725"/>
      <c r="BE16" s="725"/>
      <c r="BF16" s="725"/>
      <c r="BG16" s="725"/>
      <c r="BH16" s="725"/>
      <c r="BI16" s="725"/>
      <c r="BJ16" s="725"/>
      <c r="BK16" s="725"/>
      <c r="BL16" s="725"/>
      <c r="BM16" s="725"/>
      <c r="BN16" s="725"/>
      <c r="BO16" s="725"/>
      <c r="BP16" s="725"/>
      <c r="BQ16" s="725"/>
      <c r="BR16" s="726"/>
      <c r="BS16" s="331"/>
    </row>
    <row r="17" spans="1:71" ht="12.75" customHeight="1" x14ac:dyDescent="0.2">
      <c r="A17" s="727" t="s">
        <v>348</v>
      </c>
      <c r="B17" s="724"/>
      <c r="C17" s="724"/>
      <c r="D17" s="724"/>
      <c r="E17" s="724"/>
      <c r="F17" s="724"/>
      <c r="G17" s="724"/>
      <c r="H17" s="724"/>
      <c r="I17" s="724" t="s">
        <v>416</v>
      </c>
      <c r="J17" s="724"/>
      <c r="K17" s="724"/>
      <c r="L17" s="724"/>
      <c r="M17" s="724"/>
      <c r="N17" s="724"/>
      <c r="O17" s="724"/>
      <c r="P17" s="724"/>
      <c r="Q17" s="724"/>
      <c r="R17" s="724"/>
      <c r="S17" s="724"/>
      <c r="T17" s="724"/>
      <c r="U17" s="724"/>
      <c r="V17" s="724"/>
      <c r="W17" s="724"/>
      <c r="X17" s="724"/>
      <c r="Y17" s="724"/>
      <c r="Z17" s="724"/>
      <c r="AA17" s="724"/>
      <c r="AB17" s="724"/>
      <c r="AC17" s="724"/>
      <c r="AD17" s="724"/>
      <c r="AE17" s="724">
        <v>1</v>
      </c>
      <c r="AF17" s="724"/>
      <c r="AG17" s="724"/>
      <c r="AH17" s="724"/>
      <c r="AI17" s="724"/>
      <c r="AJ17" s="724"/>
      <c r="AK17" s="724"/>
      <c r="AL17" s="724">
        <v>0.1</v>
      </c>
      <c r="AM17" s="724"/>
      <c r="AN17" s="724"/>
      <c r="AO17" s="724"/>
      <c r="AP17" s="724"/>
      <c r="AQ17" s="724"/>
      <c r="AR17" s="724"/>
      <c r="AS17" s="273"/>
      <c r="AT17" s="724"/>
      <c r="AU17" s="725"/>
      <c r="AV17" s="725"/>
      <c r="AW17" s="725"/>
      <c r="AX17" s="725"/>
      <c r="AY17" s="725"/>
      <c r="AZ17" s="725"/>
      <c r="BA17" s="725"/>
      <c r="BB17" s="725"/>
      <c r="BC17" s="725"/>
      <c r="BD17" s="725"/>
      <c r="BE17" s="725"/>
      <c r="BF17" s="725"/>
      <c r="BG17" s="725"/>
      <c r="BH17" s="725"/>
      <c r="BI17" s="725"/>
      <c r="BJ17" s="725"/>
      <c r="BK17" s="725"/>
      <c r="BL17" s="725"/>
      <c r="BM17" s="725"/>
      <c r="BN17" s="725"/>
      <c r="BO17" s="725"/>
      <c r="BP17" s="725"/>
      <c r="BQ17" s="725"/>
      <c r="BR17" s="726"/>
      <c r="BS17" s="331"/>
    </row>
    <row r="18" spans="1:71" ht="12.75" customHeight="1" thickBot="1" x14ac:dyDescent="0.25">
      <c r="A18" s="729" t="s">
        <v>350</v>
      </c>
      <c r="B18" s="730"/>
      <c r="C18" s="730"/>
      <c r="D18" s="730"/>
      <c r="E18" s="730"/>
      <c r="F18" s="730"/>
      <c r="G18" s="730"/>
      <c r="H18" s="730"/>
      <c r="I18" s="730" t="s">
        <v>417</v>
      </c>
      <c r="J18" s="730"/>
      <c r="K18" s="730"/>
      <c r="L18" s="730"/>
      <c r="M18" s="730"/>
      <c r="N18" s="730"/>
      <c r="O18" s="730"/>
      <c r="P18" s="730"/>
      <c r="Q18" s="730"/>
      <c r="R18" s="730"/>
      <c r="S18" s="730"/>
      <c r="T18" s="730"/>
      <c r="U18" s="730"/>
      <c r="V18" s="730"/>
      <c r="W18" s="730"/>
      <c r="X18" s="730"/>
      <c r="Y18" s="730"/>
      <c r="Z18" s="730"/>
      <c r="AA18" s="730"/>
      <c r="AB18" s="730"/>
      <c r="AC18" s="730"/>
      <c r="AD18" s="730"/>
      <c r="AE18" s="730">
        <v>1</v>
      </c>
      <c r="AF18" s="730"/>
      <c r="AG18" s="730"/>
      <c r="AH18" s="730"/>
      <c r="AI18" s="730"/>
      <c r="AJ18" s="730"/>
      <c r="AK18" s="730"/>
      <c r="AL18" s="730">
        <v>0.1</v>
      </c>
      <c r="AM18" s="730"/>
      <c r="AN18" s="730"/>
      <c r="AO18" s="730"/>
      <c r="AP18" s="730"/>
      <c r="AQ18" s="730"/>
      <c r="AR18" s="730"/>
      <c r="AS18" s="333"/>
      <c r="AT18" s="730"/>
      <c r="AU18" s="731"/>
      <c r="AV18" s="731"/>
      <c r="AW18" s="731"/>
      <c r="AX18" s="731"/>
      <c r="AY18" s="731"/>
      <c r="AZ18" s="731"/>
      <c r="BA18" s="731"/>
      <c r="BB18" s="731"/>
      <c r="BC18" s="731"/>
      <c r="BD18" s="731"/>
      <c r="BE18" s="731"/>
      <c r="BF18" s="731"/>
      <c r="BG18" s="731"/>
      <c r="BH18" s="731"/>
      <c r="BI18" s="731"/>
      <c r="BJ18" s="731"/>
      <c r="BK18" s="731"/>
      <c r="BL18" s="731"/>
      <c r="BM18" s="731"/>
      <c r="BN18" s="731"/>
      <c r="BO18" s="731"/>
      <c r="BP18" s="731"/>
      <c r="BQ18" s="731"/>
      <c r="BR18" s="732"/>
      <c r="BS18" s="331"/>
    </row>
    <row r="19" spans="1:71" ht="11.25" customHeight="1" x14ac:dyDescent="0.2">
      <c r="A19" s="728"/>
      <c r="B19" s="728"/>
      <c r="C19" s="728"/>
      <c r="D19" s="728"/>
      <c r="E19" s="728"/>
      <c r="F19" s="728"/>
      <c r="G19" s="728"/>
      <c r="H19" s="728"/>
      <c r="I19" s="728"/>
      <c r="J19" s="728"/>
      <c r="K19" s="728"/>
      <c r="L19" s="728"/>
      <c r="M19" s="728"/>
      <c r="N19" s="728"/>
      <c r="O19" s="728"/>
      <c r="P19" s="728"/>
      <c r="Q19" s="728"/>
      <c r="R19" s="728"/>
      <c r="S19" s="728"/>
      <c r="T19" s="728"/>
      <c r="U19" s="728"/>
      <c r="V19" s="728"/>
      <c r="W19" s="728"/>
      <c r="X19" s="728"/>
      <c r="Y19" s="728"/>
      <c r="Z19" s="728"/>
      <c r="AA19" s="728"/>
      <c r="AB19" s="728"/>
      <c r="AC19" s="728"/>
      <c r="AD19" s="728"/>
      <c r="AE19" s="728"/>
      <c r="AF19" s="728"/>
      <c r="AG19" s="728"/>
      <c r="AH19" s="728"/>
      <c r="AI19" s="728"/>
      <c r="AJ19" s="728"/>
      <c r="AK19" s="728"/>
      <c r="AL19" s="728"/>
      <c r="AM19" s="728"/>
      <c r="AN19" s="728"/>
      <c r="AO19" s="728"/>
      <c r="AP19" s="728"/>
      <c r="AQ19" s="728"/>
      <c r="AR19" s="728"/>
      <c r="AS19" s="334"/>
      <c r="AT19" s="728"/>
      <c r="AU19" s="728"/>
      <c r="AV19" s="728"/>
      <c r="AW19" s="728"/>
      <c r="AX19" s="728"/>
      <c r="AY19" s="728"/>
      <c r="AZ19" s="728"/>
      <c r="BA19" s="728"/>
      <c r="BB19" s="728"/>
      <c r="BC19" s="728"/>
      <c r="BD19" s="728"/>
      <c r="BE19" s="728"/>
      <c r="BF19" s="728"/>
      <c r="BG19" s="728"/>
      <c r="BH19" s="728"/>
      <c r="BI19" s="728"/>
      <c r="BJ19" s="728"/>
      <c r="BK19" s="728"/>
      <c r="BL19" s="728"/>
      <c r="BM19" s="728"/>
      <c r="BN19" s="728"/>
      <c r="BO19" s="728"/>
      <c r="BP19" s="728"/>
      <c r="BQ19" s="728"/>
      <c r="BR19" s="728"/>
    </row>
    <row r="20" spans="1:71" ht="11.25" customHeight="1" x14ac:dyDescent="0.2">
      <c r="A20" s="733"/>
      <c r="B20" s="733"/>
      <c r="C20" s="733"/>
      <c r="D20" s="733"/>
      <c r="E20" s="733"/>
      <c r="F20" s="733"/>
      <c r="G20" s="733"/>
      <c r="H20" s="733"/>
      <c r="I20" s="733"/>
      <c r="J20" s="733"/>
      <c r="K20" s="733"/>
      <c r="L20" s="733"/>
      <c r="M20" s="733"/>
      <c r="N20" s="733"/>
      <c r="O20" s="733"/>
      <c r="P20" s="733"/>
      <c r="Q20" s="733"/>
      <c r="R20" s="733"/>
      <c r="S20" s="733"/>
      <c r="T20" s="733"/>
      <c r="U20" s="733"/>
      <c r="V20" s="733"/>
      <c r="W20" s="733"/>
      <c r="X20" s="733"/>
      <c r="Y20" s="733"/>
      <c r="Z20" s="733"/>
      <c r="AA20" s="733"/>
      <c r="AB20" s="733"/>
      <c r="AC20" s="733"/>
      <c r="AD20" s="733"/>
      <c r="AE20" s="733"/>
      <c r="AF20" s="733"/>
      <c r="AG20" s="733"/>
      <c r="AH20" s="733"/>
      <c r="AI20" s="733"/>
      <c r="AJ20" s="733"/>
      <c r="AK20" s="733"/>
      <c r="AL20" s="733"/>
      <c r="AM20" s="733"/>
      <c r="AN20" s="733"/>
      <c r="AO20" s="733"/>
      <c r="AP20" s="733"/>
      <c r="AQ20" s="733"/>
      <c r="AR20" s="733"/>
      <c r="AS20" s="335"/>
      <c r="AT20" s="733"/>
      <c r="AU20" s="733"/>
      <c r="AV20" s="733"/>
      <c r="AW20" s="733"/>
      <c r="AX20" s="733"/>
      <c r="AY20" s="733"/>
      <c r="AZ20" s="733"/>
      <c r="BA20" s="733"/>
      <c r="BB20" s="733"/>
      <c r="BC20" s="733"/>
      <c r="BD20" s="733"/>
      <c r="BE20" s="733"/>
      <c r="BF20" s="733"/>
      <c r="BG20" s="733"/>
      <c r="BH20" s="733"/>
      <c r="BI20" s="733"/>
      <c r="BJ20" s="733"/>
      <c r="BK20" s="733"/>
      <c r="BL20" s="733"/>
      <c r="BM20" s="733"/>
      <c r="BN20" s="733"/>
      <c r="BO20" s="733"/>
      <c r="BP20" s="733"/>
      <c r="BQ20" s="733"/>
      <c r="BR20" s="733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332">
        <v>1</v>
      </c>
    </row>
    <row r="78" spans="1:1" ht="6.75" customHeight="1" x14ac:dyDescent="0.2">
      <c r="A78" s="332">
        <v>2</v>
      </c>
    </row>
    <row r="79" spans="1:1" ht="6.75" customHeight="1" x14ac:dyDescent="0.2">
      <c r="A79" s="33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20:H20"/>
    <mergeCell ref="I20:AD20"/>
    <mergeCell ref="AE20:AK20"/>
    <mergeCell ref="AL20:AR20"/>
    <mergeCell ref="AT20:BR20"/>
    <mergeCell ref="A18:H18"/>
    <mergeCell ref="I18:AD18"/>
    <mergeCell ref="AE18:AK18"/>
    <mergeCell ref="AL18:AR18"/>
    <mergeCell ref="AT18:BR18"/>
    <mergeCell ref="A19:H19"/>
    <mergeCell ref="I19:AD19"/>
    <mergeCell ref="AE19:AK19"/>
    <mergeCell ref="AL19:AR19"/>
    <mergeCell ref="AT19:BR19"/>
    <mergeCell ref="A16:H16"/>
    <mergeCell ref="I16:AD16"/>
    <mergeCell ref="AE16:AK16"/>
    <mergeCell ref="AL16:AR16"/>
    <mergeCell ref="AT16:BR16"/>
    <mergeCell ref="A17:H17"/>
    <mergeCell ref="I17:AD17"/>
    <mergeCell ref="AE17:AK17"/>
    <mergeCell ref="AL17:AR17"/>
    <mergeCell ref="AT17:BR17"/>
    <mergeCell ref="A14:H14"/>
    <mergeCell ref="I14:AD14"/>
    <mergeCell ref="AE14:AK14"/>
    <mergeCell ref="AL14:AR14"/>
    <mergeCell ref="AT14:BR14"/>
    <mergeCell ref="A15:H15"/>
    <mergeCell ref="I15:AD15"/>
    <mergeCell ref="AE15:AK15"/>
    <mergeCell ref="AL15:AR15"/>
    <mergeCell ref="AT15:BR15"/>
    <mergeCell ref="A12:H12"/>
    <mergeCell ref="I12:AD12"/>
    <mergeCell ref="AE12:AK12"/>
    <mergeCell ref="AL12:AR12"/>
    <mergeCell ref="AT12:BR12"/>
    <mergeCell ref="A13:H13"/>
    <mergeCell ref="I13:AD13"/>
    <mergeCell ref="AE13:AK13"/>
    <mergeCell ref="AL13:AR13"/>
    <mergeCell ref="AT13:BR13"/>
    <mergeCell ref="A10:H10"/>
    <mergeCell ref="I10:AD10"/>
    <mergeCell ref="AE10:AK10"/>
    <mergeCell ref="AL10:AR10"/>
    <mergeCell ref="AT10:BR10"/>
    <mergeCell ref="A11:H11"/>
    <mergeCell ref="I11:AD11"/>
    <mergeCell ref="AE11:AK11"/>
    <mergeCell ref="AL11:AR11"/>
    <mergeCell ref="AT11:BR11"/>
    <mergeCell ref="A8:H8"/>
    <mergeCell ref="I8:AD8"/>
    <mergeCell ref="AE8:AK8"/>
    <mergeCell ref="AL8:AR8"/>
    <mergeCell ref="AT8:BR8"/>
    <mergeCell ref="A9:H9"/>
    <mergeCell ref="I9:AD9"/>
    <mergeCell ref="AE9:AK9"/>
    <mergeCell ref="AL9:AR9"/>
    <mergeCell ref="AT9:BR9"/>
    <mergeCell ref="A6:H6"/>
    <mergeCell ref="I6:AD6"/>
    <mergeCell ref="AE6:AK6"/>
    <mergeCell ref="AL6:AS6"/>
    <mergeCell ref="AT6:BR6"/>
    <mergeCell ref="A7:H7"/>
    <mergeCell ref="I7:AD7"/>
    <mergeCell ref="AE7:AK7"/>
    <mergeCell ref="AL7:AS7"/>
    <mergeCell ref="AT7:BR7"/>
    <mergeCell ref="A4:H4"/>
    <mergeCell ref="I4:AD4"/>
    <mergeCell ref="AE4:AK4"/>
    <mergeCell ref="AL4:AS4"/>
    <mergeCell ref="AT4:BR4"/>
    <mergeCell ref="A5:H5"/>
    <mergeCell ref="I5:AD5"/>
    <mergeCell ref="AE5:AK5"/>
    <mergeCell ref="AL5:AS5"/>
    <mergeCell ref="AT5:BR5"/>
    <mergeCell ref="A1:BR1"/>
    <mergeCell ref="A2:H3"/>
    <mergeCell ref="I2:AD3"/>
    <mergeCell ref="AE2:AS2"/>
    <mergeCell ref="AT2:BR3"/>
    <mergeCell ref="AE3:AK3"/>
    <mergeCell ref="AL3:AS3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32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115" bestFit="1" customWidth="1"/>
    <col min="2" max="16384" width="9.140625" style="115"/>
  </cols>
  <sheetData>
    <row r="1" spans="1:1" ht="9.75" customHeight="1" thickBot="1" x14ac:dyDescent="0.25">
      <c r="A1" s="336"/>
    </row>
    <row r="2" spans="1:1" s="338" customFormat="1" ht="23.25" x14ac:dyDescent="0.35">
      <c r="A2" s="337" t="s">
        <v>418</v>
      </c>
    </row>
    <row r="3" spans="1:1" s="338" customFormat="1" ht="24" thickBot="1" x14ac:dyDescent="0.4">
      <c r="A3" s="339" t="s">
        <v>419</v>
      </c>
    </row>
    <row r="4" spans="1:1" s="269" customFormat="1" ht="13.5" thickBot="1" x14ac:dyDescent="0.25">
      <c r="A4" s="340"/>
    </row>
    <row r="5" spans="1:1" s="338" customFormat="1" ht="23.25" x14ac:dyDescent="0.35">
      <c r="A5" s="337" t="s">
        <v>418</v>
      </c>
    </row>
    <row r="6" spans="1:1" s="338" customFormat="1" ht="24" thickBot="1" x14ac:dyDescent="0.4">
      <c r="A6" s="339" t="s">
        <v>420</v>
      </c>
    </row>
    <row r="7" spans="1:1" s="269" customFormat="1" ht="13.5" thickBot="1" x14ac:dyDescent="0.25">
      <c r="A7" s="341"/>
    </row>
    <row r="8" spans="1:1" s="338" customFormat="1" ht="23.25" x14ac:dyDescent="0.35">
      <c r="A8" s="337" t="s">
        <v>418</v>
      </c>
    </row>
    <row r="9" spans="1:1" s="338" customFormat="1" ht="24" thickBot="1" x14ac:dyDescent="0.4">
      <c r="A9" s="339" t="s">
        <v>421</v>
      </c>
    </row>
    <row r="10" spans="1:1" s="269" customFormat="1" ht="13.5" thickBot="1" x14ac:dyDescent="0.25">
      <c r="A10" s="341"/>
    </row>
    <row r="11" spans="1:1" s="338" customFormat="1" ht="23.25" x14ac:dyDescent="0.35">
      <c r="A11" s="337" t="s">
        <v>422</v>
      </c>
    </row>
    <row r="12" spans="1:1" s="338" customFormat="1" ht="24" thickBot="1" x14ac:dyDescent="0.4">
      <c r="A12" s="339" t="s">
        <v>423</v>
      </c>
    </row>
    <row r="13" spans="1:1" s="269" customFormat="1" ht="13.5" thickBot="1" x14ac:dyDescent="0.25">
      <c r="A13" s="137"/>
    </row>
    <row r="14" spans="1:1" s="338" customFormat="1" ht="23.25" x14ac:dyDescent="0.35">
      <c r="A14" s="337" t="s">
        <v>422</v>
      </c>
    </row>
    <row r="15" spans="1:1" s="338" customFormat="1" ht="24" thickBot="1" x14ac:dyDescent="0.4">
      <c r="A15" s="339" t="s">
        <v>424</v>
      </c>
    </row>
    <row r="16" spans="1:1" ht="13.5" thickBot="1" x14ac:dyDescent="0.25">
      <c r="A16" s="341"/>
    </row>
    <row r="17" spans="1:5" ht="23.25" x14ac:dyDescent="0.2">
      <c r="A17" s="337" t="s">
        <v>422</v>
      </c>
    </row>
    <row r="18" spans="1:5" ht="24" thickBot="1" x14ac:dyDescent="0.25">
      <c r="A18" s="339" t="s">
        <v>423</v>
      </c>
    </row>
    <row r="19" spans="1:5" ht="13.5" thickBot="1" x14ac:dyDescent="0.25">
      <c r="A19" s="137"/>
    </row>
    <row r="20" spans="1:5" ht="23.25" x14ac:dyDescent="0.2">
      <c r="A20" s="337" t="s">
        <v>422</v>
      </c>
    </row>
    <row r="21" spans="1:5" ht="24" thickBot="1" x14ac:dyDescent="0.25">
      <c r="A21" s="339" t="s">
        <v>424</v>
      </c>
      <c r="E21" s="269" t="s">
        <v>425</v>
      </c>
    </row>
    <row r="22" spans="1:5" ht="13.5" thickBot="1" x14ac:dyDescent="0.25">
      <c r="A22" s="137"/>
    </row>
    <row r="23" spans="1:5" ht="23.25" x14ac:dyDescent="0.2">
      <c r="A23" s="337" t="s">
        <v>426</v>
      </c>
    </row>
    <row r="24" spans="1:5" ht="24" thickBot="1" x14ac:dyDescent="0.25">
      <c r="A24" s="339" t="s">
        <v>424</v>
      </c>
      <c r="E24" s="269" t="s">
        <v>425</v>
      </c>
    </row>
    <row r="25" spans="1:5" x14ac:dyDescent="0.2">
      <c r="A25" s="136"/>
    </row>
    <row r="26" spans="1:5" x14ac:dyDescent="0.2">
      <c r="A26" s="136"/>
    </row>
    <row r="27" spans="1:5" x14ac:dyDescent="0.2">
      <c r="A27" s="136"/>
    </row>
    <row r="28" spans="1:5" x14ac:dyDescent="0.2">
      <c r="A28" s="137"/>
    </row>
    <row r="29" spans="1:5" x14ac:dyDescent="0.2">
      <c r="A29" s="136"/>
    </row>
    <row r="30" spans="1:5" x14ac:dyDescent="0.2">
      <c r="A30" s="136"/>
    </row>
    <row r="31" spans="1:5" x14ac:dyDescent="0.2">
      <c r="A31" s="136"/>
    </row>
    <row r="32" spans="1:5" x14ac:dyDescent="0.2">
      <c r="A32" s="136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</cp:lastModifiedBy>
  <cp:lastPrinted>2021-07-31T18:15:36Z</cp:lastPrinted>
  <dcterms:created xsi:type="dcterms:W3CDTF">2019-06-27T09:33:26Z</dcterms:created>
  <dcterms:modified xsi:type="dcterms:W3CDTF">2022-04-22T18:07:29Z</dcterms:modified>
</cp:coreProperties>
</file>